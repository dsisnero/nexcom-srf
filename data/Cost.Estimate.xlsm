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ominic E Sisneros\source\repos\git\dsisnero\nexcom-srf\data\"/>
    </mc:Choice>
  </mc:AlternateContent>
  <bookViews>
    <workbookView xWindow="0" yWindow="0" windowWidth="20190" windowHeight="8835" activeTab="4"/>
  </bookViews>
  <sheets>
    <sheet name="Header" sheetId="1" r:id="rId1"/>
    <sheet name="Labor" sheetId="2" r:id="rId2"/>
    <sheet name="Travel" sheetId="3" r:id="rId3"/>
    <sheet name="PA Request" sheetId="4" r:id="rId4"/>
    <sheet name="PO Furnished Materials" sheetId="7" r:id="rId5"/>
    <sheet name="Plant Materials" sheetId="9" r:id="rId6"/>
  </sheets>
  <externalReferences>
    <externalReference r:id="rId7"/>
  </externalReferences>
  <definedNames>
    <definedName name="airfare">Travel!$C$49</definedName>
    <definedName name="civ_1">Labor!$D$4</definedName>
    <definedName name="Cost_Estimator">Header!$B$14</definedName>
    <definedName name="ee_1">Labor!$D$6</definedName>
    <definedName name="ee_2" localSheetId="5">Labor!#REF!</definedName>
    <definedName name="ee_2" localSheetId="4">Labor!#REF!</definedName>
    <definedName name="ee_2">Labor!$D$7</definedName>
    <definedName name="ee_tech1">Labor!$D$19</definedName>
    <definedName name="ee_tech2">Labor!$D$20</definedName>
    <definedName name="ee_tech3" localSheetId="5">Labor!#REF!</definedName>
    <definedName name="ee_tech3" localSheetId="4">Labor!#REF!</definedName>
    <definedName name="ee_tech3">Labor!#REF!</definedName>
    <definedName name="electronic_material_total" localSheetId="5">electronic_material4[[#Totals],[EXTENDED COST]]</definedName>
    <definedName name="electronic_material_total">electronic_material4[[#Totals],[EXTENDED COST]]</definedName>
    <definedName name="FACTYPE">Header!$B$18</definedName>
    <definedName name="LOCID">Header!$B$17</definedName>
    <definedName name="lodging">Travel!$C$50</definedName>
    <definedName name="mie">Travel!$C$51</definedName>
    <definedName name="pa_elec">electronic_material4[[#Totals],[EXTENDED COST]]</definedName>
    <definedName name="pa_electronic_total">electronic_material4[[#Totals],[EXTENDED COST]]</definedName>
    <definedName name="perdiem">Travel!$C$52</definedName>
    <definedName name="perdiem_c_t" localSheetId="5">perdiem_crown[[#Totals],[EXTENDED COST]]</definedName>
    <definedName name="perdiem_c_t">perdiem_crown[[#Totals],[EXTENDED COST]]</definedName>
    <definedName name="perdiem_c_total" localSheetId="5">perdiem_crown[[#Totals],[EXTENDED COST]]</definedName>
    <definedName name="perdiem_c_total">perdiem_crown[[#Totals],[EXTENDED COST]]</definedName>
    <definedName name="perdiem_crown_total" localSheetId="5">perdiem_crown[[#Totals],[EXTENDED COST]]</definedName>
    <definedName name="perdiem_crown_total">perdiem_crown[[#Totals],[EXTENDED COST]]</definedName>
    <definedName name="plant_total">'Plant Materials'!$E$29</definedName>
    <definedName name="rental_car">Travel!$C$54</definedName>
    <definedName name="travel_crown">Travel!$D$46</definedName>
    <definedName name="travel_faa">Travel!$D$30</definedName>
  </definedNames>
  <calcPr calcId="162913" concurrentCalc="0" concurrentManual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7" l="1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6" i="7"/>
  <c r="E5" i="9"/>
  <c r="E3" i="9"/>
  <c r="E4" i="9"/>
  <c r="E22" i="9"/>
  <c r="E10" i="9"/>
  <c r="E11" i="9"/>
  <c r="E12" i="9"/>
  <c r="E13" i="9"/>
  <c r="E14" i="9"/>
  <c r="E15" i="9"/>
  <c r="E17" i="9"/>
  <c r="E16" i="9"/>
  <c r="E6" i="9"/>
  <c r="E18" i="9"/>
  <c r="A26" i="3"/>
  <c r="A25" i="3"/>
  <c r="A24" i="3"/>
  <c r="A23" i="3"/>
  <c r="A15" i="3"/>
  <c r="A14" i="3"/>
  <c r="A6" i="3"/>
  <c r="A5" i="3"/>
  <c r="E25" i="9"/>
  <c r="E22" i="4"/>
  <c r="E18" i="4"/>
  <c r="E21" i="4"/>
  <c r="E20" i="4"/>
  <c r="E19" i="4"/>
  <c r="E17" i="4"/>
  <c r="E16" i="4"/>
  <c r="E14" i="4"/>
  <c r="E13" i="4"/>
  <c r="E15" i="4"/>
  <c r="A17" i="3"/>
  <c r="A16" i="3"/>
  <c r="L31" i="2"/>
  <c r="L32" i="2"/>
  <c r="L33" i="2"/>
  <c r="L30" i="2"/>
  <c r="L26" i="2"/>
  <c r="L27" i="2"/>
  <c r="L28" i="2"/>
  <c r="D33" i="2"/>
  <c r="D32" i="2"/>
  <c r="D31" i="2"/>
  <c r="D30" i="2"/>
  <c r="D28" i="2"/>
  <c r="D27" i="2"/>
  <c r="D26" i="2"/>
  <c r="D18" i="2"/>
  <c r="L7" i="2"/>
  <c r="A8" i="3"/>
  <c r="A7" i="3"/>
  <c r="A27" i="3"/>
  <c r="C27" i="3"/>
  <c r="D27" i="3"/>
  <c r="A18" i="3"/>
  <c r="A9" i="3"/>
  <c r="E26" i="9"/>
  <c r="E27" i="9"/>
  <c r="E29" i="9"/>
  <c r="B36" i="1"/>
  <c r="C5" i="3"/>
  <c r="D5" i="3"/>
  <c r="C6" i="3"/>
  <c r="D6" i="3"/>
  <c r="C7" i="3"/>
  <c r="D7" i="3"/>
  <c r="C8" i="3"/>
  <c r="D8" i="3"/>
  <c r="C9" i="3"/>
  <c r="D9" i="3"/>
  <c r="C23" i="3"/>
  <c r="D23" i="3"/>
  <c r="C24" i="3"/>
  <c r="D24" i="3"/>
  <c r="C25" i="3"/>
  <c r="D25" i="3"/>
  <c r="C26" i="3"/>
  <c r="D26" i="3"/>
  <c r="C35" i="3"/>
  <c r="D35" i="3"/>
  <c r="C36" i="3"/>
  <c r="D36" i="3"/>
  <c r="C37" i="3"/>
  <c r="D37" i="3"/>
  <c r="C38" i="3"/>
  <c r="D38" i="3"/>
  <c r="C52" i="3"/>
  <c r="D10" i="3"/>
  <c r="C17" i="3"/>
  <c r="D17" i="3"/>
  <c r="C43" i="3"/>
  <c r="D43" i="3"/>
  <c r="C42" i="3"/>
  <c r="D39" i="3"/>
  <c r="D28" i="3"/>
  <c r="C16" i="3"/>
  <c r="D16" i="3"/>
  <c r="C18" i="3"/>
  <c r="D18" i="3"/>
  <c r="C15" i="3"/>
  <c r="D15" i="3"/>
  <c r="C14" i="3"/>
  <c r="D14" i="3"/>
  <c r="E30" i="4"/>
  <c r="E31" i="4"/>
  <c r="B35" i="1"/>
  <c r="E25" i="4"/>
  <c r="E12" i="4"/>
  <c r="E11" i="4"/>
  <c r="E6" i="4"/>
  <c r="E5" i="4"/>
  <c r="E4" i="4"/>
  <c r="E7" i="4"/>
  <c r="E8" i="4"/>
  <c r="E9" i="4"/>
  <c r="E10" i="4"/>
  <c r="E23" i="4"/>
  <c r="E24" i="4"/>
  <c r="E5" i="7"/>
  <c r="E7" i="7"/>
  <c r="E8" i="7"/>
  <c r="E4" i="7"/>
  <c r="D14" i="2"/>
  <c r="D23" i="2"/>
  <c r="D25" i="2"/>
  <c r="D17" i="2"/>
  <c r="D42" i="3"/>
  <c r="D44" i="3"/>
  <c r="D46" i="3"/>
  <c r="B31" i="1"/>
  <c r="E26" i="4"/>
  <c r="B34" i="1"/>
  <c r="D19" i="3"/>
  <c r="D30" i="3"/>
  <c r="E56" i="7"/>
  <c r="B40" i="1"/>
  <c r="E9" i="7"/>
  <c r="B39" i="1"/>
  <c r="L40" i="2"/>
  <c r="L41" i="2"/>
  <c r="L39" i="2"/>
  <c r="L17" i="2"/>
  <c r="L18" i="2"/>
  <c r="L19" i="2"/>
  <c r="L25" i="2"/>
  <c r="L6" i="2"/>
  <c r="L49" i="2"/>
  <c r="L48" i="2"/>
  <c r="L47" i="2"/>
  <c r="L46" i="2"/>
  <c r="L45" i="2"/>
  <c r="L44" i="2"/>
  <c r="L43" i="2"/>
  <c r="L42" i="2"/>
  <c r="L38" i="2"/>
  <c r="L37" i="2"/>
  <c r="L21" i="2"/>
  <c r="L22" i="2"/>
  <c r="L23" i="2"/>
  <c r="L24" i="2"/>
  <c r="L29" i="2"/>
  <c r="L3" i="2"/>
  <c r="L4" i="2"/>
  <c r="L5" i="2"/>
  <c r="L8" i="2"/>
  <c r="L9" i="2"/>
  <c r="L10" i="2"/>
  <c r="L11" i="2"/>
  <c r="L12" i="2"/>
  <c r="L13" i="2"/>
  <c r="L14" i="2"/>
  <c r="L15" i="2"/>
  <c r="L16" i="2"/>
  <c r="L20" i="2"/>
  <c r="L2" i="2"/>
  <c r="L50" i="2"/>
  <c r="B27" i="1"/>
  <c r="L34" i="2"/>
  <c r="B26" i="1"/>
  <c r="B41" i="1"/>
  <c r="B28" i="1"/>
  <c r="B30" i="1"/>
  <c r="B32" i="1"/>
  <c r="B37" i="1"/>
  <c r="B24" i="1"/>
  <c r="B23" i="1"/>
  <c r="B22" i="1"/>
</calcChain>
</file>

<file path=xl/sharedStrings.xml><?xml version="1.0" encoding="utf-8"?>
<sst xmlns="http://schemas.openxmlformats.org/spreadsheetml/2006/main" count="337" uniqueCount="200">
  <si>
    <t>Estimate Type:</t>
  </si>
  <si>
    <t>Estimate Date:</t>
  </si>
  <si>
    <t>Project Title:</t>
  </si>
  <si>
    <t>Project Location:</t>
  </si>
  <si>
    <t>Cost Estimator:</t>
  </si>
  <si>
    <t>Associated Facilities:</t>
  </si>
  <si>
    <t>Facility Type(s):</t>
  </si>
  <si>
    <t>Project JCN:</t>
  </si>
  <si>
    <t>QTY</t>
  </si>
  <si>
    <t>UNIT</t>
  </si>
  <si>
    <t>COST</t>
  </si>
  <si>
    <t>LS</t>
  </si>
  <si>
    <t>EA</t>
  </si>
  <si>
    <t>TOTAL</t>
  </si>
  <si>
    <t>FT</t>
  </si>
  <si>
    <t>EXTENDED COST</t>
  </si>
  <si>
    <t>Estimate Summary</t>
  </si>
  <si>
    <t>CAP Total:</t>
  </si>
  <si>
    <t>PO Materials Total:</t>
  </si>
  <si>
    <t>Total Per Diem:</t>
  </si>
  <si>
    <t>Fiscal Year for Rates:</t>
  </si>
  <si>
    <t>4.3 EOSH</t>
  </si>
  <si>
    <t>4.2 Engineering</t>
  </si>
  <si>
    <t>4.5 Plants Construction</t>
  </si>
  <si>
    <t>4.6 Electronics Installation</t>
  </si>
  <si>
    <t>4.7 JAI &amp; Closeout</t>
  </si>
  <si>
    <t>40303 EOSH Project Review</t>
  </si>
  <si>
    <t>40505 Plants Construction</t>
  </si>
  <si>
    <t>40605 Installation/Checkout</t>
  </si>
  <si>
    <t>Not Required</t>
  </si>
  <si>
    <t>HOURS</t>
  </si>
  <si>
    <t>RATE</t>
  </si>
  <si>
    <t>40715 Conduct JAI</t>
  </si>
  <si>
    <t>40711 Conduct CAI</t>
  </si>
  <si>
    <t>40717 Clear JAI Exceptions</t>
  </si>
  <si>
    <t>40221 Plants Engineering</t>
  </si>
  <si>
    <t>40231 Electronics Engineering</t>
  </si>
  <si>
    <t>PA Request:</t>
  </si>
  <si>
    <t>Site Cost:</t>
  </si>
  <si>
    <t>4.0 IMPLEMENTATION (FAA)</t>
  </si>
  <si>
    <t>FAA Labor:</t>
  </si>
  <si>
    <t>Total Labor:</t>
  </si>
  <si>
    <t>FAA Travel:</t>
  </si>
  <si>
    <t>Total Travel:</t>
  </si>
  <si>
    <t>Project Materials:</t>
  </si>
  <si>
    <t>Contract Support:</t>
  </si>
  <si>
    <t>Radio Equipment:</t>
  </si>
  <si>
    <t>Ancillary Equipment:</t>
  </si>
  <si>
    <t>Crown Travel:</t>
  </si>
  <si>
    <t>CONTRACT SUPPORT</t>
  </si>
  <si>
    <t>RADIO EQUIPMENT</t>
  </si>
  <si>
    <t>ANCILLARY EQUIPMENT</t>
  </si>
  <si>
    <t>Rental Car Daily Rate:</t>
  </si>
  <si>
    <t>Per Diem (Lodging + M&amp;IE)</t>
  </si>
  <si>
    <t>Rental Vehicles</t>
  </si>
  <si>
    <t>AIR TRAFFIC ORGANIZATION - TECHNICAL OPERATIONS</t>
  </si>
  <si>
    <t>ENGINEERING SERVICES</t>
  </si>
  <si>
    <t>COMMUNICATIONS ENGINEERING CENTER B - AJW-2W13B</t>
  </si>
  <si>
    <t>Project Cost Estimate</t>
  </si>
  <si>
    <t>YCA Airfare (SEA to DEN):</t>
  </si>
  <si>
    <t>Lodging (Denver, CO):</t>
  </si>
  <si>
    <t>M&amp;IE (Denver, CO):</t>
  </si>
  <si>
    <t>Coaxial cable, LMR-400</t>
  </si>
  <si>
    <t>Coaxial connector, EZ-400-NMH-X</t>
  </si>
  <si>
    <t>NextCom Services TT-3251-V3 radio tuning kit</t>
  </si>
  <si>
    <t>VHF intermodulation suppression panel</t>
  </si>
  <si>
    <t>UHF intermodulation suppression panel</t>
  </si>
  <si>
    <t>VHF bandpass cavity filter</t>
  </si>
  <si>
    <t>UHF bandpass cavity filter</t>
  </si>
  <si>
    <t>Miscellaneous materials &amp; shipping costs</t>
  </si>
  <si>
    <t>Drafting</t>
  </si>
  <si>
    <t>Baseline Budget:</t>
  </si>
  <si>
    <t>CM-300(V2) VDT (low power)</t>
  </si>
  <si>
    <t>CM-300(V2) UDT (low power)</t>
  </si>
  <si>
    <t>CM-300(V2) VDR</t>
  </si>
  <si>
    <t>CM-300(V2) UDR</t>
  </si>
  <si>
    <t>VHF Antenna (DPV-35/D5076)</t>
  </si>
  <si>
    <t>UHF Antenna (DPV-37/D5077)</t>
  </si>
  <si>
    <t>Rack Doors</t>
  </si>
  <si>
    <t>Bulkhead plates</t>
  </si>
  <si>
    <t>15A DC Breakers</t>
  </si>
  <si>
    <t>Surge Suppressors, IS-NEMP-C0</t>
  </si>
  <si>
    <t>Electronics Engineer 2 - NAME</t>
  </si>
  <si>
    <t>Electronics Tech 1 - NAME</t>
  </si>
  <si>
    <t>Electronics Tech 2 - NAME</t>
  </si>
  <si>
    <t xml:space="preserve">Construction Support- Crown </t>
  </si>
  <si>
    <t xml:space="preserve">Installation Support -Crown </t>
  </si>
  <si>
    <r>
      <t xml:space="preserve">Notes: </t>
    </r>
    <r>
      <rPr>
        <sz val="10"/>
        <color theme="1"/>
        <rFont val="Arial"/>
        <family val="2"/>
      </rPr>
      <t>*QTY for airfare = number of round trips, QTY for all others =  days.</t>
    </r>
    <r>
      <rPr>
        <sz val="10"/>
        <color theme="1"/>
        <rFont val="Arial Black"/>
        <family val="2"/>
      </rPr>
      <t xml:space="preserve">   </t>
    </r>
  </si>
  <si>
    <t>4.0 IMPLEMENTATION (Contractor)</t>
  </si>
  <si>
    <t>Contractor Labor:</t>
  </si>
  <si>
    <t>2200 S 216th Street</t>
  </si>
  <si>
    <t>Des Moines, WA 98918</t>
  </si>
  <si>
    <t>Civil Engineer-Maximo</t>
  </si>
  <si>
    <t>Electronics Engineer 1-Dominic</t>
  </si>
  <si>
    <t>Safety Engineer - Cynthia Ubilla</t>
  </si>
  <si>
    <t>Environmental Engineer - Pat Walsh</t>
  </si>
  <si>
    <t>VHF/VHF Antenna (DPV-36/D5072)</t>
  </si>
  <si>
    <t>UHF/VHF Antenna (DPV-39/D5073)</t>
  </si>
  <si>
    <t>Resident Engineer -TSSC (week)</t>
  </si>
  <si>
    <t>Construction Support- Crown 2</t>
  </si>
  <si>
    <t>LOCID</t>
  </si>
  <si>
    <t>Total</t>
  </si>
  <si>
    <t>MATERIAL</t>
  </si>
  <si>
    <t>Person</t>
  </si>
  <si>
    <t>Air Fare</t>
  </si>
  <si>
    <t>Per Diem (Lodging + M&amp;IE</t>
  </si>
  <si>
    <t>TRAVEL FAA</t>
  </si>
  <si>
    <t>TRAVEL CROWN</t>
  </si>
  <si>
    <t>Crown Electronics</t>
  </si>
  <si>
    <t>Crown Electronics 2</t>
  </si>
  <si>
    <t>Crown Plants</t>
  </si>
  <si>
    <t>Crown Plants 2</t>
  </si>
  <si>
    <t>FAA TOTAL COST</t>
  </si>
  <si>
    <t>CROWN Total Cost</t>
  </si>
  <si>
    <t>Multi-Point Ground Plate Assembly</t>
  </si>
  <si>
    <t>Single-Point Ground Plate Assembly</t>
  </si>
  <si>
    <t>Amphenol N-Type Bullet Connector</t>
  </si>
  <si>
    <t>Amphenol N-Type Bulkhead Connector</t>
  </si>
  <si>
    <t>Krone Ultim8 Highband Termination Block (10pack)</t>
  </si>
  <si>
    <t>Krone Ultim8 Highband Dummy Plugs (pk 20)</t>
  </si>
  <si>
    <t>Krone Ultim8 Backboard -ADC (Single)</t>
  </si>
  <si>
    <t>Krone Ultim8 Punch Down Tool</t>
  </si>
  <si>
    <t>Krone Ultim8 Universal Mounting System</t>
  </si>
  <si>
    <t>Hargar 2-bolt Parallel Connector</t>
  </si>
  <si>
    <t>Crown Electronics x 2</t>
  </si>
  <si>
    <t>Crown Plants x 2</t>
  </si>
  <si>
    <t>2" GRS Conduit (elbows include</t>
  </si>
  <si>
    <t>24"X30"X8" SS JCT W/ SUBPANEL</t>
  </si>
  <si>
    <t>THOMPSON 28R DOWN CONDUCTOR</t>
  </si>
  <si>
    <t>LF</t>
  </si>
  <si>
    <t>3" Fibercast Conduit</t>
  </si>
  <si>
    <t>8"x6"x4" SS JCT BOX</t>
  </si>
  <si>
    <t>10'X1-5/8" SS Unistrut</t>
  </si>
  <si>
    <t>LOT</t>
  </si>
  <si>
    <t>Misc Hardware</t>
  </si>
  <si>
    <t>Jaquith MG-40 Tilt Down</t>
  </si>
  <si>
    <t>Description</t>
  </si>
  <si>
    <t>Material</t>
  </si>
  <si>
    <t>Sitework</t>
  </si>
  <si>
    <t>Crew
Size</t>
  </si>
  <si>
    <t>Man
Hours</t>
  </si>
  <si>
    <t>Unit
Cost</t>
  </si>
  <si>
    <t>Total
Cost</t>
  </si>
  <si>
    <t>Mobilization</t>
  </si>
  <si>
    <t>DESCRIPTION</t>
  </si>
  <si>
    <t>Travel for Crown Plants Crew</t>
  </si>
  <si>
    <t>Travel for Resident Engineer</t>
  </si>
  <si>
    <t>DAYS</t>
  </si>
  <si>
    <t>Airfare for Crown Plants Crew</t>
  </si>
  <si>
    <t>MILEAGE</t>
  </si>
  <si>
    <t>Labor</t>
  </si>
  <si>
    <t>SUBTOTAL</t>
  </si>
  <si>
    <t>CONTINGENCY @% 15%</t>
  </si>
  <si>
    <t>SHIPPING</t>
  </si>
  <si>
    <t>TOTAL PLANTS</t>
  </si>
  <si>
    <t>Plants Cost</t>
  </si>
  <si>
    <t>SUBTOTAL (Mobilization, Material, Labor)</t>
  </si>
  <si>
    <t>UHF/UHF Antenna</t>
  </si>
  <si>
    <t>RCE remote unit</t>
  </si>
  <si>
    <t>RCE control unit</t>
  </si>
  <si>
    <t>RCE control cable</t>
  </si>
  <si>
    <t>RCE remote cable</t>
  </si>
  <si>
    <t>CM-350(V2) UHF (high power)</t>
  </si>
  <si>
    <t>V2 Alignment Test Fixture</t>
  </si>
  <si>
    <t>V2 CFE  Test Kit</t>
  </si>
  <si>
    <t>Antenna VHF 4db DPV-40</t>
  </si>
  <si>
    <t>Antenna UHF 4db DPV-51</t>
  </si>
  <si>
    <t>Rack RCAG-V2-8D</t>
  </si>
  <si>
    <t>Rack RCO-v2-8D</t>
  </si>
  <si>
    <t>Rack 8RX-NO-MC-V2-8D</t>
  </si>
  <si>
    <t>Rack 8RX-MC-V2-8D</t>
  </si>
  <si>
    <t>Rack 16RX-NO-MC-V2-8D</t>
  </si>
  <si>
    <t>Rack 16RX-MC-V2-8D</t>
  </si>
  <si>
    <t>Rack RT-SHARED-ANT-V2-8D</t>
  </si>
  <si>
    <t>Rack RT-SINGLE-ANT-V2-8D</t>
  </si>
  <si>
    <t>Rack 4RTR-V2-8D</t>
  </si>
  <si>
    <t>Rack 6RTR-V2-8D</t>
  </si>
  <si>
    <t>Rack BUEC-V2-8D</t>
  </si>
  <si>
    <t>Rack Bare 83" H x 25" D</t>
  </si>
  <si>
    <t>Rack Bare 83" H x 22" D</t>
  </si>
  <si>
    <t>Rack 4RTR--4RCE-V2-8D</t>
  </si>
  <si>
    <t>Coaxial cable, RG-214</t>
  </si>
  <si>
    <t>Coaxial cable, LMR400-UF</t>
  </si>
  <si>
    <t>GJT</t>
  </si>
  <si>
    <t>RTR</t>
  </si>
  <si>
    <t>Dominic Sisneros</t>
  </si>
  <si>
    <t>110333</t>
  </si>
  <si>
    <t>Grand Junction, CO</t>
  </si>
  <si>
    <t>Coaxial cable 1/2"</t>
  </si>
  <si>
    <t>Coaxial cable, 7/8"</t>
  </si>
  <si>
    <t>Coaxial cable connector, 7/8" Male Straight</t>
  </si>
  <si>
    <t>Coaxial cable connector, 7/8" Female Straight</t>
  </si>
  <si>
    <t>Coaxial cable connector, 7/8" Female N-Type</t>
  </si>
  <si>
    <t>Coaxial cable connector, 7/8" Male Andrews</t>
  </si>
  <si>
    <t>Coaxial cable connector, 1/2" Male Straight</t>
  </si>
  <si>
    <t>Coaxial cable connector, 1/2" Female Straight</t>
  </si>
  <si>
    <t>Coaxial cable connector, 1/2" Male Rt. Angle</t>
  </si>
  <si>
    <t>Coaxial cable connector, LMR400UF Male Straight</t>
  </si>
  <si>
    <t>Coaxial cable connector, LMR400UF Female Straight</t>
  </si>
  <si>
    <t>Coaxial cable connector, LMR400UF Male Rt.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</si>
</sst>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0"/>
      <color theme="1"/>
      <name val="Arial Black"/>
      <family val="2"/>
    </font>
    <font>
      <sz val="10"/>
      <color theme="1"/>
      <name val="Arial Black"/>
      <family val="2"/>
    </font>
    <font>
      <sz val="10"/>
      <color theme="1"/>
      <name val="Arial"/>
      <family val="2"/>
    </font>
    <font>
      <sz val="12"/>
      <color theme="1"/>
      <name val="Arial Black"/>
      <family val="2"/>
    </font>
    <font>
      <b/>
      <sz val="10"/>
      <color theme="1"/>
      <name val="Arial"/>
      <family val="2"/>
    </font>
    <font>
      <b/>
      <sz val="9.5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1" xfId="0" applyFont="1" applyBorder="1"/>
    <xf numFmtId="0" fontId="2" fillId="0" borderId="1" xfId="0" applyFont="1" applyBorder="1"/>
    <xf numFmtId="164" fontId="3" fillId="0" borderId="0" xfId="0" applyNumberFormat="1" applyFont="1" applyAlignment="1">
      <alignment horizontal="right"/>
    </xf>
    <xf numFmtId="0" fontId="2" fillId="0" borderId="2" xfId="0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2" fillId="0" borderId="2" xfId="0" applyFont="1" applyBorder="1"/>
    <xf numFmtId="164" fontId="3" fillId="0" borderId="0" xfId="0" applyNumberFormat="1" applyFont="1" applyBorder="1" applyAlignment="1">
      <alignment horizontal="left"/>
    </xf>
    <xf numFmtId="0" fontId="2" fillId="2" borderId="1" xfId="0" applyFont="1" applyFill="1" applyBorder="1"/>
    <xf numFmtId="0" fontId="3" fillId="0" borderId="2" xfId="0" applyFont="1" applyBorder="1"/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4" fillId="0" borderId="0" xfId="0" applyFont="1" applyAlignment="1"/>
    <xf numFmtId="0" fontId="3" fillId="0" borderId="1" xfId="0" applyFont="1" applyBorder="1"/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 vertical="top" wrapText="1"/>
    </xf>
    <xf numFmtId="164" fontId="3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left"/>
    </xf>
    <xf numFmtId="4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 indent="5"/>
    </xf>
    <xf numFmtId="0" fontId="2" fillId="3" borderId="0" xfId="0" applyFont="1" applyFill="1"/>
    <xf numFmtId="0" fontId="2" fillId="3" borderId="0" xfId="0" applyFont="1" applyFill="1" applyBorder="1" applyAlignment="1"/>
    <xf numFmtId="0" fontId="2" fillId="0" borderId="0" xfId="0" applyFont="1" applyBorder="1"/>
    <xf numFmtId="0" fontId="0" fillId="3" borderId="0" xfId="0" applyFill="1" applyBorder="1" applyAlignme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8" xfId="0" applyFont="1" applyBorder="1"/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3" fillId="0" borderId="0" xfId="0" applyFont="1" applyBorder="1"/>
    <xf numFmtId="0" fontId="3" fillId="0" borderId="0" xfId="0" applyFont="1" applyAlignment="1">
      <alignment horizontal="left"/>
    </xf>
    <xf numFmtId="44" fontId="3" fillId="0" borderId="0" xfId="0" applyNumberFormat="1" applyFont="1" applyBorder="1" applyAlignment="1">
      <alignment horizontal="left"/>
    </xf>
    <xf numFmtId="44" fontId="3" fillId="0" borderId="8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164" fontId="3" fillId="0" borderId="1" xfId="0" applyNumberFormat="1" applyFont="1" applyBorder="1" applyAlignment="1">
      <alignment horizontal="left"/>
    </xf>
    <xf numFmtId="164" fontId="3" fillId="0" borderId="6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164" fontId="3" fillId="0" borderId="7" xfId="0" applyNumberFormat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2" xfId="0" applyFont="1" applyBorder="1" applyAlignment="1">
      <alignment horizontal="left"/>
    </xf>
    <xf numFmtId="164" fontId="3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4" fontId="3" fillId="0" borderId="1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2" fillId="0" borderId="8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2" fillId="3" borderId="2" xfId="0" applyFont="1" applyFill="1" applyBorder="1" applyAlignment="1"/>
  </cellXfs>
  <cellStyles count="1">
    <cellStyle name="Normal" xfId="0" builtinId="0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&quot;$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sz val="10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(&quot;$&quot;* #,##0.00_);_(&quot;$&quot;* \(#,##0.0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border>
        <top style="double">
          <color auto="1"/>
        </top>
      </border>
    </dxf>
    <dxf>
      <border>
        <bottom style="thin">
          <color auto="1"/>
        </bottom>
      </border>
    </dxf>
  </dxfs>
  <tableStyles count="1" defaultTableStyle="TableStyleMedium2" defaultPivotStyle="PivotStyleLight16">
    <tableStyle name="Minimal" pivot="0" count="2">
      <tableStyleElement type="headerRow" dxfId="131"/>
      <tableStyleElement type="totalRow" dxfId="1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1152132</xdr:colOff>
      <xdr:row>0</xdr:row>
      <xdr:rowOff>36448</xdr:rowOff>
    </xdr:from>
    <xdr:to>
      <xdr:col>1</xdr:col>
      <xdr:colOff>472944</xdr:colOff>
      <xdr:row>6</xdr:row>
      <xdr:rowOff>45107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132" y="36448"/>
          <a:ext cx="910936" cy="906056"/>
        </a:xfrm>
        <a:prstGeom prst="rect">
          <a:avLst/>
        </a:prstGeom>
      </xdr:spPr>
    </xdr:pic>
    <xdr:clientData/>
  </xdr:twoCellAnchor>
  <xdr:twoCellAnchor editAs="oneCell">
    <xdr:from>
      <xdr:col>0</xdr:col>
      <xdr:colOff>81159</xdr:colOff>
      <xdr:row>0</xdr:row>
      <xdr:rowOff>0</xdr:rowOff>
    </xdr:from>
    <xdr:to>
      <xdr:col>0</xdr:col>
      <xdr:colOff>1089607</xdr:colOff>
      <xdr:row>6</xdr:row>
      <xdr:rowOff>100099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9" y="0"/>
          <a:ext cx="1008448" cy="99749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ominic%20E%20Sisneros/Documents/work/projects/nexcom/dominic/BTF_RTR/deliverables/BTF.RTR.cost.estimate.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er"/>
      <sheetName val="Labor"/>
      <sheetName val="Travel"/>
      <sheetName val="PA Request"/>
      <sheetName val="PO Furnished Materials"/>
      <sheetName val="Plant Material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4" name="airfrare_crown_table" displayName="airfrare_crown_table" ref="A34:D39" totalsRowCount="1" headerRowDxfId="129" dataDxfId="128">
  <autoFilter ref="A34:D38"/>
  <tableColumns count="4">
    <tableColumn id="1" name="Air Fare" totalsRowLabel="Total" dataDxfId="127" totalsRowDxfId="126"/>
    <tableColumn id="2" name="QTY" dataDxfId="125" totalsRowDxfId="124"/>
    <tableColumn id="3" name="RATE" dataDxfId="123" totalsRowDxfId="122">
      <calculatedColumnFormula>airfare</calculatedColumnFormula>
    </tableColumn>
    <tableColumn id="4" name="EXTENDED COST" totalsRowFunction="sum" dataDxfId="121" totalsRowDxfId="120">
      <calculatedColumnFormula>2*airfrare_crown_table[[#This Row],[QTY]]*airfrare_crown_table[[#This Row],[RATE]]</calculatedColumnFormula>
    </tableColumn>
  </tableColumns>
  <tableStyleInfo name="Minimal" showFirstColumn="0" showLastColumn="0" showRowStripes="0" showColumnStripes="0"/>
</table>
</file>

<file path=xl/tables/table2.xml><?xml version="1.0" encoding="utf-8"?>
<table xmlns="http://schemas.openxmlformats.org/spreadsheetml/2006/main" id="12" name="rental_cars" displayName="rental_cars" ref="A22:D28" totalsRowCount="1" headerRowDxfId="119" dataDxfId="118">
  <autoFilter ref="A22:D27"/>
  <tableColumns count="4">
    <tableColumn id="1" name="Rental Vehicles" totalsRowLabel="Total" dataDxfId="117" totalsRowDxfId="116"/>
    <tableColumn id="2" name="QTY" dataDxfId="115" totalsRowDxfId="114"/>
    <tableColumn id="3" name="RATE" dataDxfId="113" totalsRowDxfId="112">
      <calculatedColumnFormula>rental_car</calculatedColumnFormula>
    </tableColumn>
    <tableColumn id="4" name="EXTENDED COST" totalsRowFunction="sum" dataDxfId="111" totalsRowDxfId="110">
      <calculatedColumnFormula>rental_cars[[#This Row],[QTY]]*rental_cars[[#This Row],[RATE]]</calculatedColumnFormula>
    </tableColumn>
  </tableColumns>
  <tableStyleInfo name="Minimal" showFirstColumn="0" showLastColumn="0" showRowStripes="0" showColumnStripes="0"/>
</table>
</file>

<file path=xl/tables/table3.xml><?xml version="1.0" encoding="utf-8"?>
<table xmlns="http://schemas.openxmlformats.org/spreadsheetml/2006/main" id="10" name="per_diem_table" displayName="per_diem_table" ref="A13:D19" totalsRowCount="1" headerRowDxfId="109" dataDxfId="108">
  <autoFilter ref="A13:D18"/>
  <tableColumns count="4">
    <tableColumn id="1" name="Person" totalsRowLabel="Total" dataDxfId="107" totalsRowDxfId="106"/>
    <tableColumn id="2" name="QTY" dataDxfId="105" totalsRowDxfId="104"/>
    <tableColumn id="3" name="RATE" dataDxfId="103" totalsRowDxfId="102">
      <calculatedColumnFormula>perdiem</calculatedColumnFormula>
    </tableColumn>
    <tableColumn id="4" name="EXTENDED COST" totalsRowFunction="sum" dataDxfId="101" totalsRowDxfId="100">
      <calculatedColumnFormula>per_diem_table[[#This Row],[QTY]]*per_diem_table[[#This Row],[RATE]]</calculatedColumnFormula>
    </tableColumn>
  </tableColumns>
  <tableStyleInfo name="Minimal" showFirstColumn="0" showLastColumn="0" showRowStripes="0" showColumnStripes="0"/>
</table>
</file>

<file path=xl/tables/table4.xml><?xml version="1.0" encoding="utf-8"?>
<table xmlns="http://schemas.openxmlformats.org/spreadsheetml/2006/main" id="9" name="air_fare" displayName="air_fare" ref="A4:D10" totalsRowCount="1" headerRowDxfId="99" dataDxfId="98">
  <autoFilter ref="A4:D9"/>
  <tableColumns count="4">
    <tableColumn id="1" name="Person" totalsRowLabel="Total" dataDxfId="97" totalsRowDxfId="96"/>
    <tableColumn id="2" name="QTY" dataDxfId="95" totalsRowDxfId="94"/>
    <tableColumn id="3" name="RATE" dataDxfId="93" totalsRowDxfId="92">
      <calculatedColumnFormula>airfare</calculatedColumnFormula>
    </tableColumn>
    <tableColumn id="4" name="EXTENDED COST" totalsRowFunction="sum" dataDxfId="91" totalsRowDxfId="90">
      <calculatedColumnFormula>2*air_fare[[#This Row],[QTY]]*air_fare[[#This Row],[RATE]]</calculatedColumnFormula>
    </tableColumn>
  </tableColumns>
  <tableStyleInfo name="Minimal" showFirstColumn="0" showLastColumn="0" showRowStripes="0" showColumnStripes="0"/>
</table>
</file>

<file path=xl/tables/table5.xml><?xml version="1.0" encoding="utf-8"?>
<table xmlns="http://schemas.openxmlformats.org/spreadsheetml/2006/main" id="1" name="perdiem_crown" displayName="perdiem_crown" ref="A41:D44" totalsRowCount="1" headerRowDxfId="89" headerRowBorderDxfId="88">
  <autoFilter ref="A41:D43"/>
  <tableColumns count="4">
    <tableColumn id="1" name="Per Diem (Lodging + M&amp;IE)" totalsRowLabel="Total" dataDxfId="87" totalsRowDxfId="86"/>
    <tableColumn id="2" name="QTY" dataDxfId="85" totalsRowDxfId="84"/>
    <tableColumn id="3" name="RATE" dataDxfId="83" totalsRowDxfId="82"/>
    <tableColumn id="4" name="EXTENDED COST" totalsRowFunction="sum" dataDxfId="81" totalsRowDxfId="80">
      <calculatedColumnFormula>2*perdiem_crown[[#This Row],[QTY]]*perdiem_crown[[#This Row],[RATE]]</calculatedColumnFormula>
    </tableColumn>
  </tableColumns>
  <tableStyleInfo name="Minimal" showFirstColumn="0" showLastColumn="0" showRowStripes="1" showColumnStripes="0"/>
</table>
</file>

<file path=xl/tables/table6.xml><?xml version="1.0" encoding="utf-8"?>
<table xmlns="http://schemas.openxmlformats.org/spreadsheetml/2006/main" id="3" name="electronic_material4" displayName="electronic_material4" ref="A3:E26" totalsRowCount="1" headerRowDxfId="79" dataDxfId="78" tableBorderDxfId="77">
  <autoFilter ref="A3:E25"/>
  <tableColumns count="5">
    <tableColumn id="1" name="MATERIAL" totalsRowLabel="Total" dataDxfId="76" totalsRowDxfId="75"/>
    <tableColumn id="2" name="QTY" dataDxfId="74" totalsRowDxfId="73"/>
    <tableColumn id="3" name="UNIT" dataDxfId="72" totalsRowDxfId="71"/>
    <tableColumn id="4" name="COST" dataDxfId="70" totalsRowDxfId="69"/>
    <tableColumn id="5" name="EXTENDED COST" totalsRowFunction="sum" dataDxfId="68" totalsRowDxfId="67">
      <calculatedColumnFormula>electronic_material4[[#This Row],[QTY]]*electronic_material4[[#This Row],[COST]]</calculatedColumnFormula>
    </tableColumn>
  </tableColumns>
  <tableStyleInfo name="Minimal" showFirstColumn="0" showLastColumn="1" showRowStripes="1" showColumnStripes="0"/>
</table>
</file>

<file path=xl/tables/table7.xml><?xml version="1.0" encoding="utf-8"?>
<table xmlns="http://schemas.openxmlformats.org/spreadsheetml/2006/main" id="8" name="Table8" displayName="Table8" ref="A29:E31" totalsRowCount="1" headerRowDxfId="66" dataDxfId="65">
  <autoFilter ref="A29:E30"/>
  <tableColumns count="5">
    <tableColumn id="1" name="CONTRACT SUPPORT" totalsRowLabel="Total" dataDxfId="64" totalsRowDxfId="63"/>
    <tableColumn id="2" name="QTY" dataDxfId="62" totalsRowDxfId="61"/>
    <tableColumn id="3" name="UNIT" dataDxfId="60" totalsRowDxfId="59"/>
    <tableColumn id="4" name="COST" dataDxfId="58" totalsRowDxfId="57"/>
    <tableColumn id="5" name="EXTENDED COST" totalsRowFunction="sum" dataDxfId="56" totalsRowDxfId="55">
      <calculatedColumnFormula>Table8[QTY]*Table8[COST]</calculatedColumnFormula>
    </tableColumn>
  </tableColumns>
  <tableStyleInfo name="Minimal" showFirstColumn="0" showLastColumn="0" showRowStripes="1" showColumnStripes="0"/>
</table>
</file>

<file path=xl/tables/table8.xml><?xml version="1.0" encoding="utf-8"?>
<table xmlns="http://schemas.openxmlformats.org/spreadsheetml/2006/main" id="5" name="po_radio_equipment" displayName="po_radio_equipment" ref="A3:E9" totalsRowCount="1" headerRowDxfId="54" dataDxfId="53" tableBorderDxfId="52">
  <autoFilter ref="A3:E8"/>
  <tableColumns count="5">
    <tableColumn id="1" name="RADIO EQUIPMENT" totalsRowLabel="Total" dataDxfId="51" totalsRowDxfId="50"/>
    <tableColumn id="2" name="QTY" dataDxfId="49" totalsRowDxfId="48"/>
    <tableColumn id="3" name="UNIT" dataDxfId="47" totalsRowDxfId="46"/>
    <tableColumn id="4" name="COST" dataDxfId="45" totalsRowDxfId="44"/>
    <tableColumn id="5" name="EXTENDED COST" totalsRowFunction="sum" dataDxfId="43" totalsRowDxfId="42">
      <calculatedColumnFormula>po_radio_equipment[[#This Row],[QTY]]*po_radio_equipment[[#This Row],[COST]]</calculatedColumnFormula>
    </tableColumn>
  </tableColumns>
  <tableStyleInfo name="Minimal" showFirstColumn="0" showLastColumn="1" showRowStripes="1" showColumnStripes="0"/>
</table>
</file>

<file path=xl/tables/table9.xml><?xml version="1.0" encoding="utf-8"?>
<table xmlns="http://schemas.openxmlformats.org/spreadsheetml/2006/main" id="7" name="po_ancillary_equipment" displayName="po_ancillary_equipment" ref="A14:E56" totalsRowCount="1" headerRowDxfId="41" dataDxfId="40" tableBorderDxfId="39">
  <autoFilter ref="A14:E55"/>
  <tableColumns count="5">
    <tableColumn id="1" name="ANCILLARY EQUIPMENT" totalsRowLabel="Total" dataDxfId="38" totalsRowDxfId="5"/>
    <tableColumn id="2" name="QTY" dataDxfId="37" totalsRowDxfId="4"/>
    <tableColumn id="3" name="UNIT" dataDxfId="36" totalsRowDxfId="3"/>
    <tableColumn id="4" name="COST" dataDxfId="35" totalsRowDxfId="2"/>
    <tableColumn id="5" name="EXTENDED COST" totalsRowFunction="sum" dataDxfId="0" totalsRowDxfId="1">
      <calculatedColumnFormula>[1]!po_ancillary_equipment[[#This Row],[QTY]]*[1]!po_ancillary_equipment[[#This Row],[COST]]</calculatedColumnFormula>
    </tableColumn>
  </tableColumns>
  <tableStyleInfo name="Minimal" showFirstColumn="0" showLastColumn="1" showRowStripes="1" showColumnStripes="0"/>
</table>
</file>

<file path=xl/tables/table10.xml><?xml version="1.0" encoding="utf-8"?>
<table xmlns="http://schemas.openxmlformats.org/spreadsheetml/2006/main" id="2" name="tbl_plant_material" displayName="tbl_plant_material" ref="A9:E18" totalsRowCount="1" headerRowDxfId="34" dataDxfId="33" tableBorderDxfId="32">
  <autoFilter ref="A9:E17"/>
  <tableColumns count="5">
    <tableColumn id="1" name="Description" totalsRowLabel="Total" dataDxfId="31" totalsRowDxfId="30"/>
    <tableColumn id="2" name="QTY" dataDxfId="29" totalsRowDxfId="28"/>
    <tableColumn id="3" name="UNIT" dataDxfId="27" totalsRowDxfId="26"/>
    <tableColumn id="4" name="COST" dataDxfId="25" totalsRowDxfId="24"/>
    <tableColumn id="5" name="EXTENDED COST" totalsRowFunction="sum" dataDxfId="23" totalsRowDxfId="22">
      <calculatedColumnFormula>tbl_plant_material[[#This Row],[QTY]]*tbl_plant_material[[#This Row],[COST]]</calculatedColumnFormula>
    </tableColumn>
  </tableColumns>
  <tableStyleInfo name="Minimal" showFirstColumn="0" showLastColumn="1" showRowStripes="1" showColumnStripes="0"/>
</table>
</file>

<file path=xl/tables/table11.xml><?xml version="1.0" encoding="utf-8"?>
<table xmlns="http://schemas.openxmlformats.org/spreadsheetml/2006/main" id="4" name="tbl_plant_labor" displayName="tbl_plant_labor" ref="A21:E22" headerRowDxfId="21" dataDxfId="20" tableBorderDxfId="19">
  <autoFilter ref="A21:E22"/>
  <tableColumns count="5">
    <tableColumn id="1" name="Description" totalsRowLabel="Total" dataDxfId="18" totalsRowDxfId="17"/>
    <tableColumn id="2" name="Crew_x000a_Size" dataDxfId="16" totalsRowDxfId="15"/>
    <tableColumn id="3" name="Man_x000a_Hours" dataDxfId="14" totalsRowDxfId="13"/>
    <tableColumn id="4" name="Unit_x000a_Cost" dataDxfId="12" totalsRowDxfId="11"/>
    <tableColumn id="5" name="Total_x000a_Cost" totalsRowFunction="sum" dataDxfId="10" totalsRowDxfId="9">
      <calculatedColumnFormula>tbl_plant_labor[[#This Row],[Crew
Size]]*tbl_plant_labor[[#This Row],[Man
Hours]]*tbl_plant_labor[[#This Row],[Unit
Cost]]</calculatedColumnFormula>
    </tableColumn>
  </tableColumns>
  <tableStyleInfo name="Minimal" showFirstColumn="0" showLastColumn="1" showRowStripes="1" showColumnStripes="0"/>
</table>
</file>

<file path=xl/tables/table12.xml><?xml version="1.0" encoding="utf-8"?>
<table xmlns="http://schemas.openxmlformats.org/spreadsheetml/2006/main" id="13" name="tbl_plant_mobilization" displayName="tbl_plant_mobilization" ref="A2:E6" totalsRowCount="1">
  <autoFilter ref="A2:E5"/>
  <tableColumns count="5">
    <tableColumn id="1" name="DESCRIPTION" totalsRowLabel="Total"/>
    <tableColumn id="2" name="QTY" dataDxfId="8" totalsRowDxfId="7"/>
    <tableColumn id="5" name="UNIT"/>
    <tableColumn id="6" name="COST"/>
    <tableColumn id="9" name="EXTENDED COST" totalsRowFunction="sum" dataDxfId="6">
      <calculatedColumnFormula>tbl_plant_mobilization[[#This Row],[QTY]]*tbl_plant_mobilization[[#This Row],[COST]]</calculatedColumnFormula>
    </tableColumn>
  </tableColumns>
  <tableStyleInfo name="Minimal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1"/>
  <sheetViews>
    <sheetView showGridLines="0" view="pageLayout" zoomScaleNormal="121" workbookViewId="0">
      <selection activeCell="B18" sqref="B18:H18"/>
    </sheetView>
  </sheetViews>
  <sheetFormatPr defaultColWidth="9.140625" defaultRowHeight="15" x14ac:dyDescent="0.3"/>
  <cols>
    <col min="1" max="1" width="23.85546875" style="1" bestFit="1" customWidth="1"/>
    <col min="2" max="16384" width="9.140625" style="2"/>
  </cols>
  <sheetData>
    <row r="1" spans="1:8" ht="12" customHeight="1" x14ac:dyDescent="0.3"/>
    <row r="2" spans="1:8" ht="12" customHeight="1" x14ac:dyDescent="0.4">
      <c r="A2" s="23"/>
      <c r="B2" s="23"/>
      <c r="C2" s="63" t="s">
        <v>55</v>
      </c>
      <c r="D2" s="63"/>
      <c r="E2" s="63"/>
      <c r="F2" s="63"/>
      <c r="G2" s="63"/>
      <c r="H2" s="63"/>
    </row>
    <row r="3" spans="1:8" ht="12" customHeight="1" x14ac:dyDescent="0.3">
      <c r="A3" s="22"/>
      <c r="B3" s="19"/>
      <c r="C3" s="63" t="s">
        <v>56</v>
      </c>
      <c r="D3" s="63"/>
      <c r="E3" s="63"/>
      <c r="F3" s="63"/>
      <c r="G3" s="63"/>
      <c r="H3" s="63"/>
    </row>
    <row r="4" spans="1:8" ht="12" customHeight="1" x14ac:dyDescent="0.3">
      <c r="A4" s="22"/>
      <c r="B4" s="19"/>
      <c r="C4" s="63" t="s">
        <v>57</v>
      </c>
      <c r="D4" s="63"/>
      <c r="E4" s="63"/>
      <c r="F4" s="63"/>
      <c r="G4" s="63"/>
      <c r="H4" s="63"/>
    </row>
    <row r="5" spans="1:8" ht="12" customHeight="1" x14ac:dyDescent="0.3">
      <c r="A5" s="19"/>
      <c r="B5" s="19"/>
      <c r="C5" s="63" t="s">
        <v>90</v>
      </c>
      <c r="D5" s="63"/>
      <c r="E5" s="63"/>
      <c r="F5" s="63"/>
      <c r="G5" s="63"/>
      <c r="H5" s="63"/>
    </row>
    <row r="6" spans="1:8" ht="12" customHeight="1" x14ac:dyDescent="0.3">
      <c r="A6" s="19"/>
      <c r="B6" s="19"/>
      <c r="C6" s="63" t="s">
        <v>91</v>
      </c>
      <c r="D6" s="63"/>
      <c r="E6" s="63"/>
      <c r="F6" s="63"/>
      <c r="G6" s="63"/>
      <c r="H6" s="63"/>
    </row>
    <row r="7" spans="1:8" ht="12" customHeight="1" x14ac:dyDescent="0.2">
      <c r="A7" s="69" t="s">
        <v>58</v>
      </c>
      <c r="B7" s="69"/>
      <c r="C7" s="69"/>
      <c r="D7" s="69"/>
      <c r="E7" s="69"/>
      <c r="F7" s="69"/>
      <c r="G7" s="69"/>
      <c r="H7" s="69"/>
    </row>
    <row r="8" spans="1:8" ht="15" customHeight="1" x14ac:dyDescent="0.2">
      <c r="A8" s="69"/>
      <c r="B8" s="69"/>
      <c r="C8" s="69"/>
      <c r="D8" s="69"/>
      <c r="E8" s="69"/>
      <c r="F8" s="69"/>
      <c r="G8" s="69"/>
      <c r="H8" s="69"/>
    </row>
    <row r="9" spans="1:8" ht="15" customHeight="1" x14ac:dyDescent="0.2">
      <c r="A9" s="70"/>
      <c r="B9" s="70"/>
      <c r="C9" s="70"/>
      <c r="D9" s="70"/>
      <c r="E9" s="70"/>
      <c r="F9" s="70"/>
      <c r="G9" s="70"/>
      <c r="H9" s="70"/>
    </row>
    <row r="10" spans="1:8" x14ac:dyDescent="0.3">
      <c r="A10" s="3" t="s">
        <v>2</v>
      </c>
      <c r="B10" s="72"/>
      <c r="C10" s="72"/>
      <c r="D10" s="72"/>
      <c r="E10" s="72"/>
      <c r="F10" s="72"/>
      <c r="G10" s="72"/>
      <c r="H10" s="72"/>
    </row>
    <row r="11" spans="1:8" x14ac:dyDescent="0.3">
      <c r="A11" s="3" t="s">
        <v>7</v>
      </c>
      <c r="B11" s="73" t="s">
        <v>186</v>
      </c>
      <c r="C11" s="73"/>
      <c r="D11" s="73"/>
      <c r="E11" s="73"/>
      <c r="F11" s="73"/>
      <c r="G11" s="73"/>
      <c r="H11" s="73"/>
    </row>
    <row r="12" spans="1:8" x14ac:dyDescent="0.3">
      <c r="A12" s="3" t="s">
        <v>3</v>
      </c>
      <c r="B12" s="72" t="s">
        <v>187</v>
      </c>
      <c r="C12" s="72"/>
      <c r="D12" s="72"/>
      <c r="E12" s="72"/>
      <c r="F12" s="72"/>
      <c r="G12" s="72"/>
      <c r="H12" s="72"/>
    </row>
    <row r="13" spans="1:8" x14ac:dyDescent="0.3">
      <c r="A13" s="3" t="s">
        <v>5</v>
      </c>
      <c r="B13" s="72"/>
      <c r="C13" s="72"/>
      <c r="D13" s="72"/>
      <c r="E13" s="72"/>
      <c r="F13" s="72"/>
      <c r="G13" s="72"/>
      <c r="H13" s="72"/>
    </row>
    <row r="14" spans="1:8" x14ac:dyDescent="0.3">
      <c r="A14" s="4" t="s">
        <v>4</v>
      </c>
      <c r="B14" s="72" t="s">
        <v>185</v>
      </c>
      <c r="C14" s="72"/>
      <c r="D14" s="72"/>
      <c r="E14" s="72"/>
      <c r="F14" s="72"/>
      <c r="G14" s="72"/>
      <c r="H14" s="72"/>
    </row>
    <row r="15" spans="1:8" x14ac:dyDescent="0.3">
      <c r="A15" s="4" t="s">
        <v>1</v>
      </c>
      <c r="B15" s="74"/>
      <c r="C15" s="72"/>
      <c r="D15" s="72"/>
      <c r="E15" s="72"/>
      <c r="F15" s="72"/>
      <c r="G15" s="72"/>
      <c r="H15" s="72"/>
    </row>
    <row r="16" spans="1:8" x14ac:dyDescent="0.3">
      <c r="A16" s="4" t="s">
        <v>0</v>
      </c>
      <c r="B16" s="72"/>
      <c r="C16" s="72"/>
      <c r="D16" s="72"/>
      <c r="E16" s="72"/>
      <c r="F16" s="72"/>
      <c r="G16" s="72"/>
      <c r="H16" s="72"/>
    </row>
    <row r="17" spans="1:8" x14ac:dyDescent="0.3">
      <c r="A17" s="4" t="s">
        <v>100</v>
      </c>
      <c r="B17" s="72" t="s">
        <v>183</v>
      </c>
      <c r="C17" s="72"/>
      <c r="D17" s="72"/>
      <c r="E17" s="72"/>
      <c r="F17" s="72"/>
      <c r="G17" s="72"/>
      <c r="H17" s="72"/>
    </row>
    <row r="18" spans="1:8" x14ac:dyDescent="0.3">
      <c r="A18" s="4" t="s">
        <v>6</v>
      </c>
      <c r="B18" s="72" t="s">
        <v>184</v>
      </c>
      <c r="C18" s="72"/>
      <c r="D18" s="72"/>
      <c r="E18" s="72"/>
      <c r="F18" s="72"/>
      <c r="G18" s="72"/>
      <c r="H18" s="72"/>
    </row>
    <row r="19" spans="1:8" ht="15.75" customHeight="1" x14ac:dyDescent="0.2">
      <c r="A19" s="68" t="s">
        <v>16</v>
      </c>
      <c r="B19" s="68"/>
      <c r="C19" s="68"/>
      <c r="D19" s="68"/>
      <c r="E19" s="68"/>
      <c r="F19" s="68"/>
      <c r="G19" s="68"/>
      <c r="H19" s="68"/>
    </row>
    <row r="20" spans="1:8" ht="15" customHeight="1" x14ac:dyDescent="0.2">
      <c r="A20" s="69"/>
      <c r="B20" s="69"/>
      <c r="C20" s="69"/>
      <c r="D20" s="69"/>
      <c r="E20" s="69"/>
      <c r="F20" s="69"/>
      <c r="G20" s="69"/>
      <c r="H20" s="69"/>
    </row>
    <row r="21" spans="1:8" ht="15" customHeight="1" x14ac:dyDescent="0.2">
      <c r="A21" s="70"/>
      <c r="B21" s="70"/>
      <c r="C21" s="70"/>
      <c r="D21" s="70"/>
      <c r="E21" s="70"/>
      <c r="F21" s="70"/>
      <c r="G21" s="70"/>
      <c r="H21" s="70"/>
    </row>
    <row r="22" spans="1:8" ht="15" customHeight="1" x14ac:dyDescent="0.3">
      <c r="A22" s="8" t="s">
        <v>71</v>
      </c>
      <c r="B22" s="65">
        <f>SUM(B28,B32,B37,B41)</f>
        <v>196476.9</v>
      </c>
      <c r="C22" s="66"/>
      <c r="D22" s="66"/>
      <c r="E22" s="66"/>
      <c r="F22" s="66"/>
      <c r="G22" s="66"/>
      <c r="H22" s="67"/>
    </row>
    <row r="23" spans="1:8" x14ac:dyDescent="0.3">
      <c r="A23" s="4" t="s">
        <v>17</v>
      </c>
      <c r="B23" s="65">
        <f>SUM(B28,B32,B37)</f>
        <v>191922.5</v>
      </c>
      <c r="C23" s="66"/>
      <c r="D23" s="66"/>
      <c r="E23" s="66"/>
      <c r="F23" s="66"/>
      <c r="G23" s="66"/>
      <c r="H23" s="67"/>
    </row>
    <row r="24" spans="1:8" x14ac:dyDescent="0.3">
      <c r="A24" s="4" t="s">
        <v>38</v>
      </c>
      <c r="B24" s="64">
        <f>SUM(B27,B31,B37,B40)</f>
        <v>124397.9</v>
      </c>
      <c r="C24" s="64"/>
      <c r="D24" s="64"/>
      <c r="E24" s="64"/>
      <c r="F24" s="64"/>
      <c r="G24" s="64"/>
      <c r="H24" s="64"/>
    </row>
    <row r="25" spans="1:8" ht="3" customHeight="1" x14ac:dyDescent="0.3">
      <c r="A25" s="15"/>
      <c r="B25" s="71"/>
      <c r="C25" s="71"/>
      <c r="D25" s="71"/>
      <c r="E25" s="71"/>
      <c r="F25" s="71"/>
      <c r="G25" s="71"/>
      <c r="H25" s="71"/>
    </row>
    <row r="26" spans="1:8" ht="12.75" x14ac:dyDescent="0.2">
      <c r="A26" s="24" t="s">
        <v>40</v>
      </c>
      <c r="B26" s="64">
        <f>Labor!L34</f>
        <v>59800</v>
      </c>
      <c r="C26" s="64"/>
      <c r="D26" s="64"/>
      <c r="E26" s="64"/>
      <c r="F26" s="64"/>
      <c r="G26" s="64"/>
      <c r="H26" s="64"/>
    </row>
    <row r="27" spans="1:8" ht="12.75" x14ac:dyDescent="0.2">
      <c r="A27" s="24" t="s">
        <v>89</v>
      </c>
      <c r="B27" s="64">
        <f>Labor!L50</f>
        <v>68340</v>
      </c>
      <c r="C27" s="64"/>
      <c r="D27" s="64"/>
      <c r="E27" s="64"/>
      <c r="F27" s="64"/>
      <c r="G27" s="64"/>
      <c r="H27" s="64"/>
    </row>
    <row r="28" spans="1:8" x14ac:dyDescent="0.3">
      <c r="A28" s="4" t="s">
        <v>41</v>
      </c>
      <c r="B28" s="64">
        <f>SUM(B26:H27)</f>
        <v>128140</v>
      </c>
      <c r="C28" s="64"/>
      <c r="D28" s="64"/>
      <c r="E28" s="64"/>
      <c r="F28" s="64"/>
      <c r="G28" s="64"/>
      <c r="H28" s="64"/>
    </row>
    <row r="29" spans="1:8" ht="3" customHeight="1" x14ac:dyDescent="0.3">
      <c r="A29" s="15"/>
      <c r="B29" s="71"/>
      <c r="C29" s="71"/>
      <c r="D29" s="71"/>
      <c r="E29" s="71"/>
      <c r="F29" s="71"/>
      <c r="G29" s="71"/>
      <c r="H29" s="71"/>
    </row>
    <row r="30" spans="1:8" ht="12.75" x14ac:dyDescent="0.2">
      <c r="A30" s="24" t="s">
        <v>42</v>
      </c>
      <c r="B30" s="64">
        <f>travel_faa</f>
        <v>12279</v>
      </c>
      <c r="C30" s="64"/>
      <c r="D30" s="64"/>
      <c r="E30" s="64"/>
      <c r="F30" s="64"/>
      <c r="G30" s="64"/>
      <c r="H30" s="64"/>
    </row>
    <row r="31" spans="1:8" ht="12.75" x14ac:dyDescent="0.2">
      <c r="A31" s="24" t="s">
        <v>48</v>
      </c>
      <c r="B31" s="64">
        <f>travel_crown</f>
        <v>17568</v>
      </c>
      <c r="C31" s="64"/>
      <c r="D31" s="64"/>
      <c r="E31" s="64"/>
      <c r="F31" s="64"/>
      <c r="G31" s="64"/>
      <c r="H31" s="64"/>
    </row>
    <row r="32" spans="1:8" x14ac:dyDescent="0.3">
      <c r="A32" s="4" t="s">
        <v>43</v>
      </c>
      <c r="B32" s="64">
        <f>SUM(B30:H31)</f>
        <v>29847</v>
      </c>
      <c r="C32" s="64"/>
      <c r="D32" s="64"/>
      <c r="E32" s="64"/>
      <c r="F32" s="64"/>
      <c r="G32" s="64"/>
      <c r="H32" s="64"/>
    </row>
    <row r="33" spans="1:8" ht="5.0999999999999996" customHeight="1" x14ac:dyDescent="0.3">
      <c r="A33" s="15"/>
      <c r="B33" s="71"/>
      <c r="C33" s="71"/>
      <c r="D33" s="71"/>
      <c r="E33" s="71"/>
      <c r="F33" s="71"/>
      <c r="G33" s="71"/>
      <c r="H33" s="71"/>
    </row>
    <row r="34" spans="1:8" ht="12.75" x14ac:dyDescent="0.2">
      <c r="A34" s="24" t="s">
        <v>44</v>
      </c>
      <c r="B34" s="64">
        <f>'PA Request'!E26</f>
        <v>0</v>
      </c>
      <c r="C34" s="64"/>
      <c r="D34" s="64"/>
      <c r="E34" s="64"/>
      <c r="F34" s="64"/>
      <c r="G34" s="64"/>
      <c r="H34" s="64"/>
    </row>
    <row r="35" spans="1:8" ht="12.75" x14ac:dyDescent="0.2">
      <c r="A35" s="24" t="s">
        <v>45</v>
      </c>
      <c r="B35" s="64">
        <f>Table8[[#Totals],[EXTENDED COST]]</f>
        <v>0</v>
      </c>
      <c r="C35" s="64"/>
      <c r="D35" s="64"/>
      <c r="E35" s="64"/>
      <c r="F35" s="64"/>
      <c r="G35" s="64"/>
      <c r="H35" s="64"/>
    </row>
    <row r="36" spans="1:8" ht="12.75" x14ac:dyDescent="0.2">
      <c r="A36" s="24" t="s">
        <v>155</v>
      </c>
      <c r="B36" s="65">
        <f>plant_total</f>
        <v>33935.5</v>
      </c>
      <c r="C36" s="66"/>
      <c r="D36" s="66"/>
      <c r="E36" s="66"/>
      <c r="F36" s="66"/>
      <c r="G36" s="66"/>
      <c r="H36" s="67"/>
    </row>
    <row r="37" spans="1:8" x14ac:dyDescent="0.3">
      <c r="A37" s="4" t="s">
        <v>37</v>
      </c>
      <c r="B37" s="64">
        <f>SUM(B34:H36)</f>
        <v>33935.5</v>
      </c>
      <c r="C37" s="64"/>
      <c r="D37" s="64"/>
      <c r="E37" s="64"/>
      <c r="F37" s="64"/>
      <c r="G37" s="64"/>
      <c r="H37" s="64"/>
    </row>
    <row r="38" spans="1:8" ht="3" customHeight="1" x14ac:dyDescent="0.3">
      <c r="A38" s="15"/>
      <c r="B38" s="71"/>
      <c r="C38" s="71"/>
      <c r="D38" s="71"/>
      <c r="E38" s="71"/>
      <c r="F38" s="71"/>
      <c r="G38" s="71"/>
      <c r="H38" s="71"/>
    </row>
    <row r="39" spans="1:8" ht="12.75" x14ac:dyDescent="0.2">
      <c r="A39" s="24" t="s">
        <v>46</v>
      </c>
      <c r="B39" s="64">
        <f>'PO Furnished Materials'!E9</f>
        <v>0</v>
      </c>
      <c r="C39" s="64"/>
      <c r="D39" s="64"/>
      <c r="E39" s="64"/>
      <c r="F39" s="64"/>
      <c r="G39" s="64"/>
      <c r="H39" s="64"/>
    </row>
    <row r="40" spans="1:8" ht="12.75" x14ac:dyDescent="0.2">
      <c r="A40" s="24" t="s">
        <v>47</v>
      </c>
      <c r="B40" s="64">
        <f>'PO Furnished Materials'!E56</f>
        <v>4554.3999999999996</v>
      </c>
      <c r="C40" s="64"/>
      <c r="D40" s="64"/>
      <c r="E40" s="64"/>
      <c r="F40" s="64"/>
      <c r="G40" s="64"/>
      <c r="H40" s="64"/>
    </row>
    <row r="41" spans="1:8" x14ac:dyDescent="0.3">
      <c r="A41" s="4" t="s">
        <v>18</v>
      </c>
      <c r="B41" s="64">
        <f>SUM(B39:H40)</f>
        <v>4554.3999999999996</v>
      </c>
      <c r="C41" s="64"/>
      <c r="D41" s="64"/>
      <c r="E41" s="64"/>
      <c r="F41" s="64"/>
      <c r="G41" s="64"/>
      <c r="H41" s="64"/>
    </row>
  </sheetData>
  <mergeCells count="36">
    <mergeCell ref="A7:H9"/>
    <mergeCell ref="B10:H10"/>
    <mergeCell ref="B36:H36"/>
    <mergeCell ref="B39:H39"/>
    <mergeCell ref="B38:H38"/>
    <mergeCell ref="B37:H37"/>
    <mergeCell ref="B11:H11"/>
    <mergeCell ref="B18:H18"/>
    <mergeCell ref="B13:H13"/>
    <mergeCell ref="B12:H12"/>
    <mergeCell ref="B14:H14"/>
    <mergeCell ref="B15:H15"/>
    <mergeCell ref="B16:H16"/>
    <mergeCell ref="B17:H17"/>
    <mergeCell ref="B35:H35"/>
    <mergeCell ref="B41:H41"/>
    <mergeCell ref="B22:H22"/>
    <mergeCell ref="A19:H21"/>
    <mergeCell ref="B23:H23"/>
    <mergeCell ref="B24:H24"/>
    <mergeCell ref="B32:H32"/>
    <mergeCell ref="B28:H28"/>
    <mergeCell ref="B26:H26"/>
    <mergeCell ref="B27:H27"/>
    <mergeCell ref="B30:H30"/>
    <mergeCell ref="B31:H31"/>
    <mergeCell ref="B33:H33"/>
    <mergeCell ref="B34:H34"/>
    <mergeCell ref="B25:H25"/>
    <mergeCell ref="B29:H29"/>
    <mergeCell ref="B40:H40"/>
    <mergeCell ref="C2:H2"/>
    <mergeCell ref="C3:H3"/>
    <mergeCell ref="C4:H4"/>
    <mergeCell ref="C5:H5"/>
    <mergeCell ref="C6:H6"/>
  </mergeCells>
  <pageMargins left="0.7" right="0.7" top="0.75" bottom="0.75" header="0.3" footer="0.3"/>
  <pageSetup orientation="portrait" r:id="rId1"/>
  <headerFooter>
    <oddFooter>&amp;C&amp;"Arial,Regular"&amp;10&amp;D
AJW-2W13B&amp;R&amp;"Arial,Regular"&amp;10&amp;P of &amp;N&amp;LPreliminary Cost Estimate
Program - GJT RTR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0"/>
  <sheetViews>
    <sheetView showGridLines="0" showWhiteSpace="0" view="pageLayout" zoomScaleNormal="120" workbookViewId="0">
      <selection activeCell="Q31" sqref="Q31"/>
    </sheetView>
  </sheetViews>
  <sheetFormatPr defaultColWidth="9.140625" defaultRowHeight="12.75" x14ac:dyDescent="0.2"/>
  <cols>
    <col min="1" max="4" width="5" style="2" customWidth="1"/>
    <col min="5" max="7" width="6.7109375" style="2" customWidth="1"/>
    <col min="8" max="8" width="5" style="2" customWidth="1"/>
    <col min="9" max="9" width="6.7109375" style="2" customWidth="1"/>
    <col min="10" max="11" width="9.7109375" style="2" customWidth="1"/>
    <col min="12" max="12" width="18.7109375" style="2" customWidth="1"/>
    <col min="13" max="16384" width="9.140625" style="2"/>
  </cols>
  <sheetData>
    <row r="1" spans="1:12" ht="15" x14ac:dyDescent="0.3">
      <c r="A1" s="80" t="s">
        <v>39</v>
      </c>
      <c r="B1" s="80"/>
      <c r="C1" s="80"/>
      <c r="D1" s="80"/>
      <c r="E1" s="80"/>
      <c r="F1" s="80"/>
      <c r="G1" s="11"/>
      <c r="H1" s="16"/>
      <c r="I1" s="16"/>
      <c r="J1" s="13" t="s">
        <v>30</v>
      </c>
      <c r="K1" s="9" t="s">
        <v>31</v>
      </c>
      <c r="L1" s="6" t="s">
        <v>15</v>
      </c>
    </row>
    <row r="2" spans="1:12" ht="15" x14ac:dyDescent="0.3">
      <c r="B2" s="79" t="s">
        <v>22</v>
      </c>
      <c r="C2" s="79"/>
      <c r="D2" s="79"/>
      <c r="E2" s="79"/>
      <c r="F2" s="79"/>
      <c r="G2" s="79"/>
      <c r="H2" s="79"/>
      <c r="I2" s="79"/>
      <c r="J2" s="10"/>
      <c r="K2" s="14"/>
      <c r="L2" s="7" t="str">
        <f>IF(K2="","",J2*K2)</f>
        <v/>
      </c>
    </row>
    <row r="3" spans="1:12" x14ac:dyDescent="0.2">
      <c r="C3" s="76" t="s">
        <v>35</v>
      </c>
      <c r="D3" s="76"/>
      <c r="E3" s="76"/>
      <c r="F3" s="76"/>
      <c r="G3" s="76"/>
      <c r="H3" s="76"/>
      <c r="I3" s="76"/>
      <c r="J3" s="10"/>
      <c r="K3" s="14"/>
      <c r="L3" s="7" t="str">
        <f t="shared" ref="L3:L29" si="0">IF(K3="","",J3*K3)</f>
        <v/>
      </c>
    </row>
    <row r="4" spans="1:12" x14ac:dyDescent="0.2">
      <c r="D4" s="75" t="s">
        <v>92</v>
      </c>
      <c r="E4" s="75"/>
      <c r="F4" s="75"/>
      <c r="G4" s="75"/>
      <c r="H4" s="75"/>
      <c r="I4" s="75"/>
      <c r="J4" s="10">
        <v>70</v>
      </c>
      <c r="K4" s="14">
        <v>65</v>
      </c>
      <c r="L4" s="37">
        <f t="shared" si="0"/>
        <v>4550</v>
      </c>
    </row>
    <row r="5" spans="1:12" x14ac:dyDescent="0.2">
      <c r="C5" s="76" t="s">
        <v>36</v>
      </c>
      <c r="D5" s="76"/>
      <c r="E5" s="76"/>
      <c r="F5" s="76"/>
      <c r="G5" s="76"/>
      <c r="H5" s="76"/>
      <c r="I5" s="76"/>
      <c r="J5" s="10"/>
      <c r="K5" s="14"/>
      <c r="L5" s="7" t="str">
        <f t="shared" si="0"/>
        <v/>
      </c>
    </row>
    <row r="6" spans="1:12" x14ac:dyDescent="0.2">
      <c r="D6" s="75" t="s">
        <v>93</v>
      </c>
      <c r="E6" s="75"/>
      <c r="F6" s="75"/>
      <c r="G6" s="75"/>
      <c r="H6" s="75"/>
      <c r="I6" s="75"/>
      <c r="J6" s="10">
        <v>200</v>
      </c>
      <c r="K6" s="14">
        <v>65</v>
      </c>
      <c r="L6" s="37">
        <f t="shared" si="0"/>
        <v>13000</v>
      </c>
    </row>
    <row r="7" spans="1:12" x14ac:dyDescent="0.2">
      <c r="D7" s="75" t="s">
        <v>82</v>
      </c>
      <c r="E7" s="75"/>
      <c r="F7" s="75"/>
      <c r="G7" s="75"/>
      <c r="H7" s="75"/>
      <c r="I7" s="75"/>
      <c r="J7" s="44">
        <v>0</v>
      </c>
      <c r="K7" s="14">
        <v>65</v>
      </c>
      <c r="L7" s="37">
        <f t="shared" ref="L7" si="1">IF(K7="","",J7*K7)</f>
        <v>0</v>
      </c>
    </row>
    <row r="8" spans="1:12" ht="15" x14ac:dyDescent="0.3">
      <c r="B8" s="79" t="s">
        <v>21</v>
      </c>
      <c r="C8" s="79"/>
      <c r="D8" s="79"/>
      <c r="E8" s="79"/>
      <c r="F8" s="79"/>
      <c r="G8" s="79"/>
      <c r="H8" s="79"/>
      <c r="I8" s="79"/>
      <c r="J8" s="10"/>
      <c r="K8" s="14"/>
      <c r="L8" s="7" t="str">
        <f t="shared" si="0"/>
        <v/>
      </c>
    </row>
    <row r="9" spans="1:12" x14ac:dyDescent="0.2">
      <c r="C9" s="76" t="s">
        <v>26</v>
      </c>
      <c r="D9" s="76"/>
      <c r="E9" s="76"/>
      <c r="F9" s="76"/>
      <c r="G9" s="76"/>
      <c r="H9" s="76"/>
      <c r="I9" s="76"/>
      <c r="J9" s="10"/>
      <c r="K9" s="14"/>
      <c r="L9" s="7" t="str">
        <f t="shared" si="0"/>
        <v/>
      </c>
    </row>
    <row r="10" spans="1:12" x14ac:dyDescent="0.2">
      <c r="D10" s="75" t="s">
        <v>94</v>
      </c>
      <c r="E10" s="75"/>
      <c r="F10" s="75"/>
      <c r="G10" s="75"/>
      <c r="H10" s="75"/>
      <c r="I10" s="75"/>
      <c r="J10" s="10">
        <v>5</v>
      </c>
      <c r="K10" s="14">
        <v>65</v>
      </c>
      <c r="L10" s="37">
        <f t="shared" si="0"/>
        <v>325</v>
      </c>
    </row>
    <row r="11" spans="1:12" x14ac:dyDescent="0.2">
      <c r="D11" s="75" t="s">
        <v>95</v>
      </c>
      <c r="E11" s="75"/>
      <c r="F11" s="75"/>
      <c r="G11" s="75"/>
      <c r="H11" s="75"/>
      <c r="I11" s="75"/>
      <c r="J11" s="10">
        <v>5</v>
      </c>
      <c r="K11" s="14">
        <v>65</v>
      </c>
      <c r="L11" s="37">
        <f t="shared" si="0"/>
        <v>325</v>
      </c>
    </row>
    <row r="12" spans="1:12" ht="15" x14ac:dyDescent="0.3">
      <c r="B12" s="79" t="s">
        <v>23</v>
      </c>
      <c r="C12" s="79"/>
      <c r="D12" s="79"/>
      <c r="E12" s="79"/>
      <c r="F12" s="79"/>
      <c r="G12" s="79"/>
      <c r="H12" s="79"/>
      <c r="I12" s="79"/>
      <c r="J12" s="10"/>
      <c r="K12" s="14"/>
      <c r="L12" s="7" t="str">
        <f t="shared" si="0"/>
        <v/>
      </c>
    </row>
    <row r="13" spans="1:12" x14ac:dyDescent="0.2">
      <c r="C13" s="76" t="s">
        <v>27</v>
      </c>
      <c r="D13" s="76"/>
      <c r="E13" s="76"/>
      <c r="F13" s="76"/>
      <c r="G13" s="76"/>
      <c r="H13" s="76"/>
      <c r="I13" s="76"/>
      <c r="J13" s="10"/>
      <c r="K13" s="14"/>
      <c r="L13" s="7" t="str">
        <f t="shared" si="0"/>
        <v/>
      </c>
    </row>
    <row r="14" spans="1:12" x14ac:dyDescent="0.2">
      <c r="D14" s="75" t="str">
        <f>civ_1</f>
        <v>Civil Engineer-Maximo</v>
      </c>
      <c r="E14" s="75"/>
      <c r="F14" s="75"/>
      <c r="G14" s="75"/>
      <c r="H14" s="75"/>
      <c r="I14" s="75"/>
      <c r="J14" s="10">
        <v>50</v>
      </c>
      <c r="K14" s="14">
        <v>65</v>
      </c>
      <c r="L14" s="37">
        <f t="shared" si="0"/>
        <v>3250</v>
      </c>
    </row>
    <row r="15" spans="1:12" ht="15" x14ac:dyDescent="0.3">
      <c r="B15" s="79" t="s">
        <v>24</v>
      </c>
      <c r="C15" s="79"/>
      <c r="D15" s="79"/>
      <c r="E15" s="79"/>
      <c r="F15" s="79"/>
      <c r="G15" s="79"/>
      <c r="H15" s="79"/>
      <c r="I15" s="79"/>
      <c r="J15" s="10"/>
      <c r="K15" s="14"/>
      <c r="L15" s="7" t="str">
        <f t="shared" si="0"/>
        <v/>
      </c>
    </row>
    <row r="16" spans="1:12" x14ac:dyDescent="0.2">
      <c r="C16" s="76" t="s">
        <v>28</v>
      </c>
      <c r="D16" s="76"/>
      <c r="E16" s="76"/>
      <c r="F16" s="76"/>
      <c r="G16" s="76"/>
      <c r="H16" s="76"/>
      <c r="I16" s="76"/>
      <c r="J16" s="10"/>
      <c r="K16" s="14"/>
      <c r="L16" s="7" t="str">
        <f t="shared" si="0"/>
        <v/>
      </c>
    </row>
    <row r="17" spans="2:12" x14ac:dyDescent="0.2">
      <c r="C17" s="20"/>
      <c r="D17" s="75" t="str">
        <f>ee_1</f>
        <v>Electronics Engineer 1-Dominic</v>
      </c>
      <c r="E17" s="75"/>
      <c r="F17" s="75"/>
      <c r="G17" s="75"/>
      <c r="H17" s="75"/>
      <c r="I17" s="75"/>
      <c r="J17" s="21">
        <v>100</v>
      </c>
      <c r="K17" s="14">
        <v>65</v>
      </c>
      <c r="L17" s="37">
        <f t="shared" ref="L17:L19" si="2">IF(K17="","",J17*K17)</f>
        <v>6500</v>
      </c>
    </row>
    <row r="18" spans="2:12" x14ac:dyDescent="0.2">
      <c r="C18" s="20"/>
      <c r="D18" s="75" t="str">
        <f>ee_2</f>
        <v>Electronics Engineer 2 - NAME</v>
      </c>
      <c r="E18" s="75"/>
      <c r="F18" s="75"/>
      <c r="G18" s="75"/>
      <c r="H18" s="75"/>
      <c r="I18" s="75"/>
      <c r="J18" s="21">
        <v>0</v>
      </c>
      <c r="K18" s="14">
        <v>65</v>
      </c>
      <c r="L18" s="37">
        <f t="shared" si="2"/>
        <v>0</v>
      </c>
    </row>
    <row r="19" spans="2:12" x14ac:dyDescent="0.2">
      <c r="C19" s="20"/>
      <c r="D19" s="75" t="s">
        <v>83</v>
      </c>
      <c r="E19" s="75"/>
      <c r="F19" s="75"/>
      <c r="G19" s="75"/>
      <c r="H19" s="75"/>
      <c r="I19" s="75"/>
      <c r="J19" s="21">
        <v>160</v>
      </c>
      <c r="K19" s="14">
        <v>65</v>
      </c>
      <c r="L19" s="37">
        <f t="shared" si="2"/>
        <v>10400</v>
      </c>
    </row>
    <row r="20" spans="2:12" x14ac:dyDescent="0.2">
      <c r="D20" s="75" t="s">
        <v>84</v>
      </c>
      <c r="E20" s="75"/>
      <c r="F20" s="75"/>
      <c r="G20" s="75"/>
      <c r="H20" s="75"/>
      <c r="I20" s="75"/>
      <c r="J20" s="10">
        <v>160</v>
      </c>
      <c r="K20" s="14">
        <v>65</v>
      </c>
      <c r="L20" s="37">
        <f t="shared" si="0"/>
        <v>10400</v>
      </c>
    </row>
    <row r="21" spans="2:12" ht="15" x14ac:dyDescent="0.3">
      <c r="B21" s="79" t="s">
        <v>25</v>
      </c>
      <c r="C21" s="79"/>
      <c r="D21" s="79"/>
      <c r="E21" s="79"/>
      <c r="F21" s="79"/>
      <c r="G21" s="79"/>
      <c r="H21" s="79"/>
      <c r="I21" s="79"/>
      <c r="J21" s="10"/>
      <c r="K21" s="14"/>
      <c r="L21" s="7" t="str">
        <f t="shared" si="0"/>
        <v/>
      </c>
    </row>
    <row r="22" spans="2:12" x14ac:dyDescent="0.2">
      <c r="C22" s="76" t="s">
        <v>33</v>
      </c>
      <c r="D22" s="76"/>
      <c r="E22" s="76"/>
      <c r="F22" s="76"/>
      <c r="G22" s="76"/>
      <c r="H22" s="76"/>
      <c r="I22" s="76"/>
      <c r="J22" s="10"/>
      <c r="K22" s="14"/>
      <c r="L22" s="7" t="str">
        <f t="shared" si="0"/>
        <v/>
      </c>
    </row>
    <row r="23" spans="2:12" x14ac:dyDescent="0.2">
      <c r="D23" s="75" t="str">
        <f>civ_1</f>
        <v>Civil Engineer-Maximo</v>
      </c>
      <c r="E23" s="75"/>
      <c r="F23" s="75"/>
      <c r="G23" s="75"/>
      <c r="H23" s="75"/>
      <c r="I23" s="75"/>
      <c r="J23" s="10">
        <v>10</v>
      </c>
      <c r="K23" s="14">
        <v>65</v>
      </c>
      <c r="L23" s="37">
        <f t="shared" si="0"/>
        <v>650</v>
      </c>
    </row>
    <row r="24" spans="2:12" x14ac:dyDescent="0.2">
      <c r="C24" s="76" t="s">
        <v>32</v>
      </c>
      <c r="D24" s="76"/>
      <c r="E24" s="76"/>
      <c r="F24" s="76"/>
      <c r="G24" s="76"/>
      <c r="H24" s="76"/>
      <c r="I24" s="76"/>
      <c r="J24" s="10"/>
      <c r="K24" s="14"/>
      <c r="L24" s="7" t="str">
        <f t="shared" si="0"/>
        <v/>
      </c>
    </row>
    <row r="25" spans="2:12" x14ac:dyDescent="0.2">
      <c r="C25" s="17"/>
      <c r="D25" s="75" t="str">
        <f>ee_1</f>
        <v>Electronics Engineer 1-Dominic</v>
      </c>
      <c r="E25" s="75"/>
      <c r="F25" s="75"/>
      <c r="G25" s="75"/>
      <c r="H25" s="75"/>
      <c r="I25" s="75"/>
      <c r="J25" s="18">
        <v>10</v>
      </c>
      <c r="K25" s="14">
        <v>65</v>
      </c>
      <c r="L25" s="37">
        <f t="shared" ref="L25:L28" si="3">IF(K25="","",J25*K25)</f>
        <v>650</v>
      </c>
    </row>
    <row r="26" spans="2:12" x14ac:dyDescent="0.2">
      <c r="C26" s="45"/>
      <c r="D26" s="75" t="str">
        <f>ee_2</f>
        <v>Electronics Engineer 2 - NAME</v>
      </c>
      <c r="E26" s="75"/>
      <c r="F26" s="75"/>
      <c r="G26" s="75"/>
      <c r="H26" s="75"/>
      <c r="I26" s="75"/>
      <c r="J26" s="44">
        <v>0</v>
      </c>
      <c r="K26" s="14">
        <v>65</v>
      </c>
      <c r="L26" s="37">
        <f t="shared" si="3"/>
        <v>0</v>
      </c>
    </row>
    <row r="27" spans="2:12" x14ac:dyDescent="0.2">
      <c r="C27" s="45"/>
      <c r="D27" s="75" t="str">
        <f>ee_tech1</f>
        <v>Electronics Tech 1 - NAME</v>
      </c>
      <c r="E27" s="75"/>
      <c r="F27" s="75"/>
      <c r="G27" s="75"/>
      <c r="H27" s="75"/>
      <c r="I27" s="75"/>
      <c r="J27" s="44">
        <v>10</v>
      </c>
      <c r="K27" s="14">
        <v>65</v>
      </c>
      <c r="L27" s="37">
        <f t="shared" si="3"/>
        <v>650</v>
      </c>
    </row>
    <row r="28" spans="2:12" x14ac:dyDescent="0.2">
      <c r="C28" s="12"/>
      <c r="D28" s="75" t="str">
        <f>ee_tech2</f>
        <v>Electronics Tech 2 - NAME</v>
      </c>
      <c r="E28" s="75"/>
      <c r="F28" s="75"/>
      <c r="G28" s="75"/>
      <c r="H28" s="75"/>
      <c r="I28" s="75"/>
      <c r="J28" s="44">
        <v>0</v>
      </c>
      <c r="K28" s="14">
        <v>65</v>
      </c>
      <c r="L28" s="37">
        <f t="shared" si="3"/>
        <v>0</v>
      </c>
    </row>
    <row r="29" spans="2:12" x14ac:dyDescent="0.2">
      <c r="C29" s="76" t="s">
        <v>34</v>
      </c>
      <c r="D29" s="76"/>
      <c r="E29" s="76"/>
      <c r="F29" s="76"/>
      <c r="G29" s="76"/>
      <c r="H29" s="76"/>
      <c r="I29" s="76"/>
      <c r="J29" s="10"/>
      <c r="K29" s="14"/>
      <c r="L29" s="7" t="str">
        <f t="shared" si="0"/>
        <v/>
      </c>
    </row>
    <row r="30" spans="2:12" x14ac:dyDescent="0.2">
      <c r="C30" s="45"/>
      <c r="D30" s="75" t="str">
        <f>ee_1</f>
        <v>Electronics Engineer 1-Dominic</v>
      </c>
      <c r="E30" s="75"/>
      <c r="F30" s="75"/>
      <c r="G30" s="75"/>
      <c r="H30" s="75"/>
      <c r="I30" s="75"/>
      <c r="J30" s="44">
        <v>140</v>
      </c>
      <c r="K30" s="14">
        <v>65</v>
      </c>
      <c r="L30" s="37">
        <f>J30*K30</f>
        <v>9100</v>
      </c>
    </row>
    <row r="31" spans="2:12" x14ac:dyDescent="0.2">
      <c r="C31" s="45"/>
      <c r="D31" s="75" t="str">
        <f>ee_2</f>
        <v>Electronics Engineer 2 - NAME</v>
      </c>
      <c r="E31" s="75"/>
      <c r="F31" s="75"/>
      <c r="G31" s="75"/>
      <c r="H31" s="75"/>
      <c r="I31" s="75"/>
      <c r="J31" s="44">
        <v>0</v>
      </c>
      <c r="K31" s="14">
        <v>65</v>
      </c>
      <c r="L31" s="37">
        <f t="shared" ref="L31:L33" si="4">J31*K31</f>
        <v>0</v>
      </c>
    </row>
    <row r="32" spans="2:12" x14ac:dyDescent="0.2">
      <c r="D32" s="75" t="str">
        <f>ee_tech1</f>
        <v>Electronics Tech 1 - NAME</v>
      </c>
      <c r="E32" s="75"/>
      <c r="F32" s="75"/>
      <c r="G32" s="75"/>
      <c r="H32" s="75"/>
      <c r="I32" s="75"/>
      <c r="J32" s="44">
        <v>0</v>
      </c>
      <c r="K32" s="14">
        <v>65</v>
      </c>
      <c r="L32" s="37">
        <f t="shared" si="4"/>
        <v>0</v>
      </c>
    </row>
    <row r="33" spans="1:12" ht="13.5" thickBot="1" x14ac:dyDescent="0.25">
      <c r="A33" s="52"/>
      <c r="B33" s="52"/>
      <c r="C33" s="52"/>
      <c r="D33" s="78" t="str">
        <f>ee_tech2</f>
        <v>Electronics Tech 2 - NAME</v>
      </c>
      <c r="E33" s="78"/>
      <c r="F33" s="78"/>
      <c r="G33" s="78"/>
      <c r="H33" s="78"/>
      <c r="I33" s="78"/>
      <c r="J33" s="36">
        <v>0</v>
      </c>
      <c r="K33" s="14">
        <v>65</v>
      </c>
      <c r="L33" s="54">
        <f t="shared" si="4"/>
        <v>0</v>
      </c>
    </row>
    <row r="34" spans="1:12" ht="15.75" thickTop="1" x14ac:dyDescent="0.3">
      <c r="A34" s="77" t="s">
        <v>13</v>
      </c>
      <c r="B34" s="77"/>
      <c r="C34" s="77"/>
      <c r="D34" s="77"/>
      <c r="E34" s="77"/>
      <c r="F34" s="77"/>
      <c r="G34" s="77"/>
      <c r="H34" s="77"/>
      <c r="I34" s="77"/>
      <c r="J34" s="47"/>
      <c r="K34" s="47"/>
      <c r="L34" s="55">
        <f>SUM(L2:L33)</f>
        <v>59800</v>
      </c>
    </row>
    <row r="36" spans="1:12" ht="15" x14ac:dyDescent="0.3">
      <c r="A36" s="11" t="s">
        <v>88</v>
      </c>
      <c r="B36" s="11"/>
      <c r="C36" s="11"/>
      <c r="D36" s="11"/>
      <c r="E36" s="11"/>
      <c r="F36" s="11"/>
      <c r="G36" s="11"/>
      <c r="H36" s="16"/>
      <c r="I36" s="16"/>
      <c r="J36" s="13" t="s">
        <v>30</v>
      </c>
      <c r="K36" s="9" t="s">
        <v>31</v>
      </c>
      <c r="L36" s="6" t="s">
        <v>15</v>
      </c>
    </row>
    <row r="37" spans="1:12" ht="15" x14ac:dyDescent="0.3">
      <c r="B37" s="79" t="s">
        <v>23</v>
      </c>
      <c r="C37" s="79"/>
      <c r="D37" s="79"/>
      <c r="E37" s="79"/>
      <c r="F37" s="79"/>
      <c r="G37" s="79"/>
      <c r="H37" s="79"/>
      <c r="I37" s="79"/>
      <c r="J37" s="10"/>
      <c r="K37" s="14"/>
      <c r="L37" s="7" t="str">
        <f t="shared" ref="L37:L49" si="5">IF(K37="","",J37*K37)</f>
        <v/>
      </c>
    </row>
    <row r="38" spans="1:12" x14ac:dyDescent="0.2">
      <c r="C38" s="76" t="s">
        <v>27</v>
      </c>
      <c r="D38" s="76"/>
      <c r="E38" s="76"/>
      <c r="F38" s="76"/>
      <c r="G38" s="76"/>
      <c r="H38" s="76"/>
      <c r="I38" s="76"/>
      <c r="J38" s="10"/>
      <c r="K38" s="14"/>
      <c r="L38" s="7" t="str">
        <f t="shared" si="5"/>
        <v/>
      </c>
    </row>
    <row r="39" spans="1:12" x14ac:dyDescent="0.2">
      <c r="C39" s="27"/>
      <c r="D39" s="75" t="s">
        <v>85</v>
      </c>
      <c r="E39" s="75"/>
      <c r="F39" s="75"/>
      <c r="G39" s="75"/>
      <c r="H39" s="75"/>
      <c r="I39" s="75"/>
      <c r="J39" s="26">
        <v>120</v>
      </c>
      <c r="K39" s="14">
        <v>77</v>
      </c>
      <c r="L39" s="37">
        <f t="shared" ref="L39:L40" si="6">IF(K39="","",J39*K39)</f>
        <v>9240</v>
      </c>
    </row>
    <row r="40" spans="1:12" x14ac:dyDescent="0.2">
      <c r="C40" s="29"/>
      <c r="D40" s="75" t="s">
        <v>99</v>
      </c>
      <c r="E40" s="75"/>
      <c r="F40" s="75"/>
      <c r="G40" s="75"/>
      <c r="H40" s="75"/>
      <c r="I40" s="75"/>
      <c r="J40" s="30">
        <v>120</v>
      </c>
      <c r="K40" s="14">
        <v>77</v>
      </c>
      <c r="L40" s="37">
        <f t="shared" si="6"/>
        <v>9240</v>
      </c>
    </row>
    <row r="41" spans="1:12" x14ac:dyDescent="0.2">
      <c r="C41" s="27"/>
      <c r="D41" s="26" t="s">
        <v>98</v>
      </c>
      <c r="E41" s="26"/>
      <c r="F41" s="26"/>
      <c r="G41" s="26"/>
      <c r="H41" s="26"/>
      <c r="I41" s="26"/>
      <c r="J41" s="26">
        <v>6</v>
      </c>
      <c r="K41" s="14">
        <v>6000</v>
      </c>
      <c r="L41" s="37">
        <f>IF(K41="","",J41*6000)</f>
        <v>36000</v>
      </c>
    </row>
    <row r="42" spans="1:12" ht="15" x14ac:dyDescent="0.3">
      <c r="B42" s="79" t="s">
        <v>24</v>
      </c>
      <c r="C42" s="79"/>
      <c r="D42" s="79"/>
      <c r="E42" s="79"/>
      <c r="F42" s="79"/>
      <c r="G42" s="79"/>
      <c r="H42" s="79"/>
      <c r="I42" s="79"/>
      <c r="J42" s="10"/>
      <c r="K42" s="14"/>
      <c r="L42" s="7" t="str">
        <f t="shared" si="5"/>
        <v/>
      </c>
    </row>
    <row r="43" spans="1:12" x14ac:dyDescent="0.2">
      <c r="C43" s="76" t="s">
        <v>28</v>
      </c>
      <c r="D43" s="76"/>
      <c r="E43" s="76"/>
      <c r="F43" s="76"/>
      <c r="G43" s="76"/>
      <c r="H43" s="76"/>
      <c r="I43" s="76"/>
      <c r="J43" s="10"/>
      <c r="K43" s="14"/>
      <c r="L43" s="7" t="str">
        <f t="shared" si="5"/>
        <v/>
      </c>
    </row>
    <row r="44" spans="1:12" x14ac:dyDescent="0.2">
      <c r="D44" s="75" t="s">
        <v>86</v>
      </c>
      <c r="E44" s="75"/>
      <c r="F44" s="75"/>
      <c r="G44" s="75"/>
      <c r="H44" s="75"/>
      <c r="I44" s="75"/>
      <c r="J44" s="10">
        <v>160</v>
      </c>
      <c r="K44" s="14">
        <v>77</v>
      </c>
      <c r="L44" s="37">
        <f t="shared" si="5"/>
        <v>12320</v>
      </c>
    </row>
    <row r="45" spans="1:12" ht="15" x14ac:dyDescent="0.3">
      <c r="B45" s="79" t="s">
        <v>25</v>
      </c>
      <c r="C45" s="79"/>
      <c r="D45" s="79"/>
      <c r="E45" s="79"/>
      <c r="F45" s="79"/>
      <c r="G45" s="79"/>
      <c r="H45" s="79"/>
      <c r="I45" s="79"/>
      <c r="J45" s="10"/>
      <c r="K45" s="14"/>
      <c r="L45" s="7" t="str">
        <f t="shared" si="5"/>
        <v/>
      </c>
    </row>
    <row r="46" spans="1:12" x14ac:dyDescent="0.2">
      <c r="C46" s="76" t="s">
        <v>33</v>
      </c>
      <c r="D46" s="76"/>
      <c r="E46" s="76"/>
      <c r="F46" s="76"/>
      <c r="G46" s="76"/>
      <c r="H46" s="76"/>
      <c r="I46" s="76"/>
      <c r="J46" s="10"/>
      <c r="K46" s="14"/>
      <c r="L46" s="7" t="str">
        <f t="shared" si="5"/>
        <v/>
      </c>
    </row>
    <row r="47" spans="1:12" x14ac:dyDescent="0.2">
      <c r="D47" s="75" t="s">
        <v>29</v>
      </c>
      <c r="E47" s="75"/>
      <c r="F47" s="75"/>
      <c r="G47" s="75"/>
      <c r="H47" s="75"/>
      <c r="I47" s="75"/>
      <c r="J47" s="10">
        <v>10</v>
      </c>
      <c r="K47" s="14">
        <v>77</v>
      </c>
      <c r="L47" s="37">
        <f t="shared" si="5"/>
        <v>770</v>
      </c>
    </row>
    <row r="48" spans="1:12" x14ac:dyDescent="0.2">
      <c r="C48" s="76" t="s">
        <v>32</v>
      </c>
      <c r="D48" s="76"/>
      <c r="E48" s="76"/>
      <c r="F48" s="76"/>
      <c r="G48" s="76"/>
      <c r="H48" s="76"/>
      <c r="I48" s="76"/>
      <c r="J48" s="10"/>
      <c r="K48" s="14"/>
      <c r="L48" s="37" t="str">
        <f t="shared" si="5"/>
        <v/>
      </c>
    </row>
    <row r="49" spans="1:12" ht="13.5" thickBot="1" x14ac:dyDescent="0.25">
      <c r="A49" s="52"/>
      <c r="B49" s="52"/>
      <c r="C49" s="56"/>
      <c r="D49" s="78" t="s">
        <v>29</v>
      </c>
      <c r="E49" s="78"/>
      <c r="F49" s="78"/>
      <c r="G49" s="78"/>
      <c r="H49" s="78"/>
      <c r="I49" s="78"/>
      <c r="J49" s="36">
        <v>10</v>
      </c>
      <c r="K49" s="14">
        <v>77</v>
      </c>
      <c r="L49" s="54">
        <f t="shared" si="5"/>
        <v>770</v>
      </c>
    </row>
    <row r="50" spans="1:12" ht="15.75" thickTop="1" x14ac:dyDescent="0.3">
      <c r="A50" s="77" t="s">
        <v>13</v>
      </c>
      <c r="B50" s="77"/>
      <c r="C50" s="77"/>
      <c r="D50" s="77"/>
      <c r="E50" s="77"/>
      <c r="F50" s="77"/>
      <c r="G50" s="77"/>
      <c r="H50" s="47"/>
      <c r="I50" s="47"/>
      <c r="J50" s="47"/>
      <c r="K50" s="47"/>
      <c r="L50" s="55">
        <f>SUM(L37:L49)</f>
        <v>68340</v>
      </c>
    </row>
  </sheetData>
  <mergeCells count="47">
    <mergeCell ref="D32:I32"/>
    <mergeCell ref="A1:F1"/>
    <mergeCell ref="B21:I21"/>
    <mergeCell ref="B8:I8"/>
    <mergeCell ref="B2:I2"/>
    <mergeCell ref="C3:I3"/>
    <mergeCell ref="C5:I5"/>
    <mergeCell ref="B12:I12"/>
    <mergeCell ref="B15:I15"/>
    <mergeCell ref="C9:I9"/>
    <mergeCell ref="D11:I11"/>
    <mergeCell ref="C13:I13"/>
    <mergeCell ref="D4:I4"/>
    <mergeCell ref="D6:I6"/>
    <mergeCell ref="D10:I10"/>
    <mergeCell ref="C16:I16"/>
    <mergeCell ref="D31:I31"/>
    <mergeCell ref="A50:G50"/>
    <mergeCell ref="D49:I49"/>
    <mergeCell ref="B45:I45"/>
    <mergeCell ref="C46:I46"/>
    <mergeCell ref="D47:I47"/>
    <mergeCell ref="C48:I48"/>
    <mergeCell ref="D44:I44"/>
    <mergeCell ref="B37:I37"/>
    <mergeCell ref="C38:I38"/>
    <mergeCell ref="D39:I39"/>
    <mergeCell ref="B42:I42"/>
    <mergeCell ref="C43:I43"/>
    <mergeCell ref="D40:I40"/>
    <mergeCell ref="D33:I33"/>
    <mergeCell ref="A34:I34"/>
    <mergeCell ref="D7:I7"/>
    <mergeCell ref="D30:I30"/>
    <mergeCell ref="D26:I26"/>
    <mergeCell ref="D27:I27"/>
    <mergeCell ref="D17:I17"/>
    <mergeCell ref="D18:I18"/>
    <mergeCell ref="D19:I19"/>
    <mergeCell ref="D20:I20"/>
    <mergeCell ref="D23:I23"/>
    <mergeCell ref="C22:I22"/>
    <mergeCell ref="C24:I24"/>
    <mergeCell ref="C29:I29"/>
    <mergeCell ref="D28:I28"/>
    <mergeCell ref="D25:I25"/>
    <mergeCell ref="D14:I14"/>
  </mergeCells>
  <pageMargins left="0.7" right="0.7" top="0.75" bottom="0.75" header="0.3" footer="0.3"/>
  <pageSetup orientation="portrait" r:id="rId1"/>
  <headerFooter>
    <oddHeader>&amp;C&amp;"Arial Black,Regular"&amp;10LABOR</oddHeader>
    <oddFooter>&amp;C&amp;"Arial,Regular"&amp;10&amp;D
AJW-2W13B&amp;R&amp;"Airal,Regular"&amp;10&amp;P of &amp;N&amp;LPreliminary Cost Estimate
Program - GJT RTR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3"/>
  <sheetViews>
    <sheetView showGridLines="0" view="pageLayout" zoomScaleNormal="120" workbookViewId="0">
      <selection activeCell="A23" sqref="A23"/>
    </sheetView>
  </sheetViews>
  <sheetFormatPr defaultColWidth="9.140625" defaultRowHeight="12.75" x14ac:dyDescent="0.2"/>
  <cols>
    <col min="1" max="1" width="35.5703125" style="2" customWidth="1"/>
    <col min="2" max="2" width="9.140625" style="2"/>
    <col min="3" max="3" width="11.85546875" style="2" customWidth="1"/>
    <col min="4" max="4" width="17.7109375" style="2" customWidth="1"/>
    <col min="5" max="16384" width="9.140625" style="2"/>
  </cols>
  <sheetData>
    <row r="1" spans="1:4" ht="15" x14ac:dyDescent="0.3">
      <c r="A1" s="81" t="s">
        <v>106</v>
      </c>
      <c r="B1" s="81"/>
      <c r="C1" s="81"/>
      <c r="D1" s="81"/>
    </row>
    <row r="2" spans="1:4" ht="15" x14ac:dyDescent="0.3">
      <c r="A2" s="40"/>
      <c r="B2" s="41" t="s">
        <v>8</v>
      </c>
      <c r="C2" s="41" t="s">
        <v>31</v>
      </c>
      <c r="D2" s="41" t="s">
        <v>15</v>
      </c>
    </row>
    <row r="3" spans="1:4" ht="15" x14ac:dyDescent="0.3">
      <c r="A3" s="41" t="s">
        <v>104</v>
      </c>
    </row>
    <row r="4" spans="1:4" x14ac:dyDescent="0.2">
      <c r="A4" s="2" t="s">
        <v>103</v>
      </c>
      <c r="B4" s="2" t="s">
        <v>8</v>
      </c>
      <c r="C4" s="2" t="s">
        <v>31</v>
      </c>
      <c r="D4" s="2" t="s">
        <v>15</v>
      </c>
    </row>
    <row r="5" spans="1:4" x14ac:dyDescent="0.2">
      <c r="A5" s="2" t="str">
        <f>ee_1</f>
        <v>Electronics Engineer 1-Dominic</v>
      </c>
      <c r="B5" s="31">
        <v>0</v>
      </c>
      <c r="C5" s="37">
        <f>airfare</f>
        <v>229</v>
      </c>
      <c r="D5" s="37">
        <f>2*air_fare[[#This Row],[QTY]]*air_fare[[#This Row],[RATE]]</f>
        <v>0</v>
      </c>
    </row>
    <row r="6" spans="1:4" x14ac:dyDescent="0.2">
      <c r="A6" s="2" t="str">
        <f>ee_2</f>
        <v>Electronics Engineer 2 - NAME</v>
      </c>
      <c r="B6" s="31">
        <v>0</v>
      </c>
      <c r="C6" s="37">
        <f>airfare</f>
        <v>229</v>
      </c>
      <c r="D6" s="37">
        <f>2*air_fare[[#This Row],[QTY]]*air_fare[[#This Row],[RATE]]</f>
        <v>0</v>
      </c>
    </row>
    <row r="7" spans="1:4" x14ac:dyDescent="0.2">
      <c r="A7" s="2" t="str">
        <f>ee_tech1</f>
        <v>Electronics Tech 1 - NAME</v>
      </c>
      <c r="B7" s="31">
        <v>1</v>
      </c>
      <c r="C7" s="37">
        <f>airfare</f>
        <v>229</v>
      </c>
      <c r="D7" s="37">
        <f>2*air_fare[[#This Row],[QTY]]*air_fare[[#This Row],[RATE]]</f>
        <v>458</v>
      </c>
    </row>
    <row r="8" spans="1:4" x14ac:dyDescent="0.2">
      <c r="A8" s="2" t="str">
        <f>ee_tech2</f>
        <v>Electronics Tech 2 - NAME</v>
      </c>
      <c r="B8" s="31">
        <v>0</v>
      </c>
      <c r="C8" s="37">
        <f>airfare</f>
        <v>229</v>
      </c>
      <c r="D8" s="37">
        <f>2*air_fare[[#This Row],[QTY]]*air_fare[[#This Row],[RATE]]</f>
        <v>0</v>
      </c>
    </row>
    <row r="9" spans="1:4" x14ac:dyDescent="0.2">
      <c r="A9" s="2" t="str">
        <f>civ_1</f>
        <v>Civil Engineer-Maximo</v>
      </c>
      <c r="B9" s="31">
        <v>1</v>
      </c>
      <c r="C9" s="37">
        <f>airfare</f>
        <v>229</v>
      </c>
      <c r="D9" s="37">
        <f>2*air_fare[[#This Row],[QTY]]*air_fare[[#This Row],[RATE]]</f>
        <v>458</v>
      </c>
    </row>
    <row r="10" spans="1:4" x14ac:dyDescent="0.2">
      <c r="A10" s="2" t="s">
        <v>101</v>
      </c>
      <c r="D10" s="37">
        <f>SUBTOTAL(109,air_fare[EXTENDED COST])</f>
        <v>916</v>
      </c>
    </row>
    <row r="11" spans="1:4" x14ac:dyDescent="0.2">
      <c r="D11" s="37"/>
    </row>
    <row r="12" spans="1:4" ht="15" x14ac:dyDescent="0.3">
      <c r="A12" s="41" t="s">
        <v>105</v>
      </c>
    </row>
    <row r="13" spans="1:4" x14ac:dyDescent="0.2">
      <c r="A13" s="2" t="s">
        <v>103</v>
      </c>
      <c r="B13" s="2" t="s">
        <v>8</v>
      </c>
      <c r="C13" s="2" t="s">
        <v>31</v>
      </c>
      <c r="D13" s="2" t="s">
        <v>15</v>
      </c>
    </row>
    <row r="14" spans="1:4" x14ac:dyDescent="0.2">
      <c r="A14" s="2" t="str">
        <f>ee_1</f>
        <v>Electronics Engineer 1-Dominic</v>
      </c>
      <c r="B14" s="31">
        <v>0</v>
      </c>
      <c r="C14" s="37">
        <f>perdiem</f>
        <v>183</v>
      </c>
      <c r="D14" s="37">
        <f>per_diem_table[[#This Row],[QTY]]*per_diem_table[[#This Row],[RATE]]</f>
        <v>0</v>
      </c>
    </row>
    <row r="15" spans="1:4" x14ac:dyDescent="0.2">
      <c r="A15" s="2" t="str">
        <f>ee_2</f>
        <v>Electronics Engineer 2 - NAME</v>
      </c>
      <c r="B15" s="31">
        <v>0</v>
      </c>
      <c r="C15" s="37">
        <f>perdiem</f>
        <v>183</v>
      </c>
      <c r="D15" s="37">
        <f>per_diem_table[[#This Row],[QTY]]*per_diem_table[[#This Row],[RATE]]</f>
        <v>0</v>
      </c>
    </row>
    <row r="16" spans="1:4" x14ac:dyDescent="0.2">
      <c r="A16" s="2" t="str">
        <f>ee_tech1</f>
        <v>Electronics Tech 1 - NAME</v>
      </c>
      <c r="B16" s="46">
        <v>28</v>
      </c>
      <c r="C16" s="37">
        <f>perdiem</f>
        <v>183</v>
      </c>
      <c r="D16" s="37">
        <f>per_diem_table[[#This Row],[QTY]]*per_diem_table[[#This Row],[RATE]]</f>
        <v>5124</v>
      </c>
    </row>
    <row r="17" spans="1:5" ht="15" customHeight="1" x14ac:dyDescent="0.2">
      <c r="A17" s="2" t="str">
        <f>ee_tech2</f>
        <v>Electronics Tech 2 - NAME</v>
      </c>
      <c r="B17" s="31">
        <v>28</v>
      </c>
      <c r="C17" s="37">
        <f>perdiem</f>
        <v>183</v>
      </c>
      <c r="D17" s="37">
        <f>per_diem_table[[#This Row],[QTY]]*per_diem_table[[#This Row],[RATE]]</f>
        <v>5124</v>
      </c>
    </row>
    <row r="18" spans="1:5" x14ac:dyDescent="0.2">
      <c r="A18" s="2" t="str">
        <f>civ_1</f>
        <v>Civil Engineer-Maximo</v>
      </c>
      <c r="B18" s="31">
        <v>5</v>
      </c>
      <c r="C18" s="37">
        <f>perdiem</f>
        <v>183</v>
      </c>
      <c r="D18" s="37">
        <f>per_diem_table[[#This Row],[QTY]]*per_diem_table[[#This Row],[RATE]]</f>
        <v>915</v>
      </c>
    </row>
    <row r="19" spans="1:5" x14ac:dyDescent="0.2">
      <c r="A19" s="2" t="s">
        <v>101</v>
      </c>
      <c r="D19" s="37">
        <f>SUBTOTAL(109,per_diem_table[EXTENDED COST])</f>
        <v>11163</v>
      </c>
    </row>
    <row r="20" spans="1:5" x14ac:dyDescent="0.2">
      <c r="D20" s="37"/>
    </row>
    <row r="21" spans="1:5" ht="15" x14ac:dyDescent="0.3">
      <c r="A21" s="41" t="s">
        <v>54</v>
      </c>
      <c r="B21" s="31"/>
      <c r="C21" s="31"/>
      <c r="D21" s="35"/>
    </row>
    <row r="22" spans="1:5" ht="15" x14ac:dyDescent="0.3">
      <c r="A22" s="1" t="s">
        <v>54</v>
      </c>
      <c r="B22" s="2" t="s">
        <v>8</v>
      </c>
      <c r="C22" s="2" t="s">
        <v>31</v>
      </c>
      <c r="D22" s="2" t="s">
        <v>15</v>
      </c>
    </row>
    <row r="23" spans="1:5" x14ac:dyDescent="0.2">
      <c r="A23" s="2" t="str">
        <f>ee_1</f>
        <v>Electronics Engineer 1-Dominic</v>
      </c>
      <c r="B23" s="31">
        <v>0</v>
      </c>
      <c r="C23" s="37">
        <f t="shared" ref="C23:C27" si="0">rental_car</f>
        <v>40</v>
      </c>
      <c r="D23" s="37">
        <f>rental_cars[[#This Row],[QTY]]*rental_cars[[#This Row],[RATE]]</f>
        <v>0</v>
      </c>
    </row>
    <row r="24" spans="1:5" x14ac:dyDescent="0.2">
      <c r="A24" s="2" t="str">
        <f>ee_2</f>
        <v>Electronics Engineer 2 - NAME</v>
      </c>
      <c r="B24" s="31">
        <v>0</v>
      </c>
      <c r="C24" s="37">
        <f t="shared" si="0"/>
        <v>40</v>
      </c>
      <c r="D24" s="37">
        <f>rental_cars[[#This Row],[QTY]]*rental_cars[[#This Row],[RATE]]</f>
        <v>0</v>
      </c>
    </row>
    <row r="25" spans="1:5" x14ac:dyDescent="0.2">
      <c r="A25" s="2" t="str">
        <f>ee_tech1</f>
        <v>Electronics Tech 1 - NAME</v>
      </c>
      <c r="B25" s="31">
        <v>0</v>
      </c>
      <c r="C25" s="37">
        <f t="shared" si="0"/>
        <v>40</v>
      </c>
      <c r="D25" s="37">
        <f>rental_cars[[#This Row],[QTY]]*rental_cars[[#This Row],[RATE]]</f>
        <v>0</v>
      </c>
    </row>
    <row r="26" spans="1:5" x14ac:dyDescent="0.2">
      <c r="A26" s="2" t="str">
        <f>ee_tech2</f>
        <v>Electronics Tech 2 - NAME</v>
      </c>
      <c r="B26" s="31">
        <v>0</v>
      </c>
      <c r="C26" s="37">
        <f t="shared" si="0"/>
        <v>40</v>
      </c>
      <c r="D26" s="37">
        <f>rental_cars[[#This Row],[QTY]]*rental_cars[[#This Row],[RATE]]</f>
        <v>0</v>
      </c>
    </row>
    <row r="27" spans="1:5" x14ac:dyDescent="0.2">
      <c r="A27" s="2" t="str">
        <f>civ_1</f>
        <v>Civil Engineer-Maximo</v>
      </c>
      <c r="B27" s="44">
        <v>5</v>
      </c>
      <c r="C27" s="37">
        <f t="shared" si="0"/>
        <v>40</v>
      </c>
      <c r="D27" s="37">
        <f>rental_cars[[#This Row],[QTY]]*rental_cars[[#This Row],[RATE]]</f>
        <v>200</v>
      </c>
    </row>
    <row r="28" spans="1:5" x14ac:dyDescent="0.2">
      <c r="A28" s="2" t="s">
        <v>101</v>
      </c>
      <c r="D28" s="37">
        <f>SUBTOTAL(109,rental_cars[EXTENDED COST])</f>
        <v>200</v>
      </c>
    </row>
    <row r="30" spans="1:5" ht="15" x14ac:dyDescent="0.3">
      <c r="A30" s="39" t="s">
        <v>112</v>
      </c>
      <c r="D30" s="37">
        <f>SUM(air_fare[[#Totals],[EXTENDED COST]],per_diem_table[[#Totals],[EXTENDED COST]], rental_cars[[#Totals],[EXTENDED COST]])</f>
        <v>12279</v>
      </c>
    </row>
    <row r="31" spans="1:5" ht="15.75" x14ac:dyDescent="0.3">
      <c r="A31" s="39"/>
      <c r="D31" s="37"/>
      <c r="E31" s="42"/>
    </row>
    <row r="32" spans="1:5" ht="15" x14ac:dyDescent="0.3">
      <c r="A32" s="81" t="s">
        <v>107</v>
      </c>
      <c r="B32" s="81"/>
      <c r="C32" s="81"/>
      <c r="D32" s="81"/>
    </row>
    <row r="33" spans="1:4" x14ac:dyDescent="0.2">
      <c r="D33" s="37"/>
    </row>
    <row r="34" spans="1:4" ht="15" x14ac:dyDescent="0.3">
      <c r="A34" s="1" t="s">
        <v>104</v>
      </c>
      <c r="B34" s="2" t="s">
        <v>8</v>
      </c>
      <c r="C34" s="2" t="s">
        <v>31</v>
      </c>
      <c r="D34" s="2" t="s">
        <v>15</v>
      </c>
    </row>
    <row r="35" spans="1:4" x14ac:dyDescent="0.2">
      <c r="A35" s="2" t="s">
        <v>108</v>
      </c>
      <c r="B35" s="31">
        <v>0</v>
      </c>
      <c r="C35" s="37">
        <f>airfare</f>
        <v>229</v>
      </c>
      <c r="D35" s="37">
        <f>2*airfrare_crown_table[[#This Row],[QTY]]*airfrare_crown_table[[#This Row],[RATE]]</f>
        <v>0</v>
      </c>
    </row>
    <row r="36" spans="1:4" x14ac:dyDescent="0.2">
      <c r="A36" s="2" t="s">
        <v>109</v>
      </c>
      <c r="B36" s="31">
        <v>0</v>
      </c>
      <c r="C36" s="37">
        <f>airfare</f>
        <v>229</v>
      </c>
      <c r="D36" s="37">
        <f>2*airfrare_crown_table[[#This Row],[QTY]]*airfrare_crown_table[[#This Row],[RATE]]</f>
        <v>0</v>
      </c>
    </row>
    <row r="37" spans="1:4" x14ac:dyDescent="0.2">
      <c r="A37" s="2" t="s">
        <v>110</v>
      </c>
      <c r="B37" s="31">
        <v>0</v>
      </c>
      <c r="C37" s="37">
        <f>airfare</f>
        <v>229</v>
      </c>
      <c r="D37" s="37">
        <f>2*airfrare_crown_table[[#This Row],[QTY]]*airfrare_crown_table[[#This Row],[RATE]]</f>
        <v>0</v>
      </c>
    </row>
    <row r="38" spans="1:4" x14ac:dyDescent="0.2">
      <c r="A38" s="2" t="s">
        <v>111</v>
      </c>
      <c r="B38" s="31">
        <v>0</v>
      </c>
      <c r="C38" s="37">
        <f>airfare</f>
        <v>229</v>
      </c>
      <c r="D38" s="37">
        <f>2*airfrare_crown_table[[#This Row],[QTY]]*airfrare_crown_table[[#This Row],[RATE]]</f>
        <v>0</v>
      </c>
    </row>
    <row r="39" spans="1:4" x14ac:dyDescent="0.2">
      <c r="A39" s="2" t="s">
        <v>101</v>
      </c>
      <c r="D39" s="37">
        <f>SUBTOTAL(109,airfrare_crown_table[EXTENDED COST])</f>
        <v>0</v>
      </c>
    </row>
    <row r="40" spans="1:4" x14ac:dyDescent="0.2">
      <c r="D40" s="37"/>
    </row>
    <row r="41" spans="1:4" ht="15" x14ac:dyDescent="0.3">
      <c r="A41" s="13" t="s">
        <v>53</v>
      </c>
      <c r="B41" s="16" t="s">
        <v>8</v>
      </c>
      <c r="C41" s="16" t="s">
        <v>31</v>
      </c>
      <c r="D41" s="16" t="s">
        <v>15</v>
      </c>
    </row>
    <row r="42" spans="1:4" x14ac:dyDescent="0.2">
      <c r="A42" s="2" t="s">
        <v>124</v>
      </c>
      <c r="B42" s="43">
        <v>28</v>
      </c>
      <c r="C42" s="37">
        <f>perdiem</f>
        <v>183</v>
      </c>
      <c r="D42" s="37">
        <f>2*perdiem_crown[[#This Row],[QTY]]*perdiem_crown[[#This Row],[RATE]]</f>
        <v>10248</v>
      </c>
    </row>
    <row r="43" spans="1:4" x14ac:dyDescent="0.2">
      <c r="A43" s="2" t="s">
        <v>125</v>
      </c>
      <c r="B43" s="43">
        <v>20</v>
      </c>
      <c r="C43" s="37">
        <f>perdiem</f>
        <v>183</v>
      </c>
      <c r="D43" s="37">
        <f>2*perdiem_crown[[#This Row],[QTY]]*perdiem_crown[[#This Row],[RATE]]</f>
        <v>7320</v>
      </c>
    </row>
    <row r="44" spans="1:4" x14ac:dyDescent="0.2">
      <c r="A44" s="2" t="s">
        <v>101</v>
      </c>
      <c r="B44" s="43"/>
      <c r="C44" s="43"/>
      <c r="D44" s="37">
        <f>SUBTOTAL(109,perdiem_crown[EXTENDED COST])</f>
        <v>17568</v>
      </c>
    </row>
    <row r="45" spans="1:4" x14ac:dyDescent="0.2">
      <c r="B45" s="43"/>
      <c r="C45" s="43"/>
      <c r="D45" s="37"/>
    </row>
    <row r="46" spans="1:4" ht="15" x14ac:dyDescent="0.3">
      <c r="A46" s="39" t="s">
        <v>113</v>
      </c>
      <c r="B46" s="43"/>
      <c r="C46" s="43"/>
      <c r="D46" s="37">
        <f>SUM(airfrare_crown_table[[#Totals],[EXTENDED COST]],perdiem_crown[[#Totals],[EXTENDED COST]])</f>
        <v>17568</v>
      </c>
    </row>
    <row r="47" spans="1:4" x14ac:dyDescent="0.2">
      <c r="B47" s="43"/>
      <c r="C47" s="37"/>
      <c r="D47" s="37"/>
    </row>
    <row r="48" spans="1:4" ht="15" x14ac:dyDescent="0.3">
      <c r="A48" s="33" t="s">
        <v>20</v>
      </c>
      <c r="B48" s="33"/>
      <c r="C48" s="38">
        <v>2018</v>
      </c>
    </row>
    <row r="49" spans="1:4" ht="15" x14ac:dyDescent="0.3">
      <c r="A49" s="33" t="s">
        <v>59</v>
      </c>
      <c r="B49" s="33"/>
      <c r="C49" s="37">
        <v>229</v>
      </c>
    </row>
    <row r="50" spans="1:4" ht="12.75" customHeight="1" x14ac:dyDescent="0.3">
      <c r="A50" s="33" t="s">
        <v>60</v>
      </c>
      <c r="B50" s="33"/>
      <c r="C50" s="37">
        <v>124</v>
      </c>
    </row>
    <row r="51" spans="1:4" ht="12.75" customHeight="1" x14ac:dyDescent="0.3">
      <c r="A51" s="33" t="s">
        <v>61</v>
      </c>
      <c r="B51" s="33"/>
      <c r="C51" s="37">
        <v>59</v>
      </c>
    </row>
    <row r="52" spans="1:4" ht="12.75" customHeight="1" x14ac:dyDescent="0.3">
      <c r="A52" s="33" t="s">
        <v>19</v>
      </c>
      <c r="B52" s="33"/>
      <c r="C52" s="37">
        <f>SUM(lodging,mie)</f>
        <v>183</v>
      </c>
    </row>
    <row r="53" spans="1:4" ht="12.75" customHeight="1" x14ac:dyDescent="0.3">
      <c r="A53" s="33"/>
      <c r="B53" s="33"/>
      <c r="C53" s="35"/>
    </row>
    <row r="54" spans="1:4" ht="12.75" customHeight="1" x14ac:dyDescent="0.3">
      <c r="A54" s="33" t="s">
        <v>52</v>
      </c>
      <c r="B54" s="33"/>
      <c r="C54" s="37">
        <v>40</v>
      </c>
      <c r="D54" s="35"/>
    </row>
    <row r="55" spans="1:4" ht="12.75" customHeight="1" x14ac:dyDescent="0.2"/>
    <row r="56" spans="1:4" ht="12.75" customHeight="1" x14ac:dyDescent="0.2">
      <c r="A56" s="34" t="s">
        <v>87</v>
      </c>
      <c r="B56" s="34"/>
      <c r="C56" s="34"/>
      <c r="D56" s="34"/>
    </row>
    <row r="57" spans="1:4" ht="12.75" customHeight="1" x14ac:dyDescent="0.2">
      <c r="A57" s="34"/>
      <c r="B57" s="34"/>
      <c r="C57" s="34"/>
      <c r="D57" s="34"/>
    </row>
    <row r="58" spans="1:4" ht="15" x14ac:dyDescent="0.2">
      <c r="A58" s="34"/>
      <c r="B58" s="34"/>
      <c r="C58" s="34"/>
      <c r="D58" s="34"/>
    </row>
    <row r="59" spans="1:4" ht="15" x14ac:dyDescent="0.2">
      <c r="A59" s="34"/>
      <c r="B59" s="34"/>
      <c r="C59" s="34"/>
      <c r="D59" s="34"/>
    </row>
    <row r="60" spans="1:4" ht="15" x14ac:dyDescent="0.2">
      <c r="A60" s="34"/>
      <c r="B60" s="34"/>
      <c r="C60" s="34"/>
      <c r="D60" s="34"/>
    </row>
    <row r="61" spans="1:4" ht="15" x14ac:dyDescent="0.2">
      <c r="A61" s="34"/>
      <c r="B61" s="34"/>
      <c r="C61" s="34"/>
      <c r="D61" s="34"/>
    </row>
    <row r="62" spans="1:4" ht="15" x14ac:dyDescent="0.2">
      <c r="A62" s="34"/>
      <c r="B62" s="34"/>
      <c r="C62" s="34"/>
      <c r="D62" s="34"/>
    </row>
    <row r="63" spans="1:4" ht="15" x14ac:dyDescent="0.2">
      <c r="A63" s="25"/>
      <c r="B63" s="25"/>
      <c r="C63" s="25"/>
      <c r="D63" s="25"/>
    </row>
  </sheetData>
  <mergeCells count="2">
    <mergeCell ref="A1:D1"/>
    <mergeCell ref="A32:D32"/>
  </mergeCells>
  <pageMargins left="0.7" right="0.7" top="0.75" bottom="0.75" header="0.3" footer="0.3"/>
  <pageSetup orientation="portrait" r:id="rId1"/>
  <headerFooter>
    <oddHeader>&amp;C&amp;"Arial Black,Regular"&amp;10TRAVEL</oddHeader>
    <oddFooter>&amp;C&amp;"Arial,Regular"&amp;10&amp;D
AJW-2W13B&amp;R&amp;P of &amp;N&amp;LPreliminary Cost Estimate
Program - GJT RTR</oddFooter>
  </headerFooter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showGridLines="0" view="pageLayout" zoomScaleNormal="122" workbookViewId="0">
      <selection activeCell="B30" sqref="B30"/>
    </sheetView>
  </sheetViews>
  <sheetFormatPr defaultRowHeight="15" x14ac:dyDescent="0.25"/>
  <cols>
    <col min="1" max="1" width="41.7109375" customWidth="1"/>
    <col min="4" max="4" width="10.42578125" bestFit="1" customWidth="1"/>
    <col min="5" max="5" width="16" customWidth="1"/>
    <col min="6" max="7" width="6.7109375" customWidth="1"/>
    <col min="8" max="8" width="12.7109375" customWidth="1"/>
    <col min="9" max="9" width="18.7109375" customWidth="1"/>
    <col min="10" max="10" width="10.5703125" bestFit="1" customWidth="1"/>
  </cols>
  <sheetData>
    <row r="1" spans="1:9" ht="15.75" x14ac:dyDescent="0.3">
      <c r="A1" s="28"/>
      <c r="B1" s="28"/>
      <c r="C1" s="28"/>
      <c r="D1" s="28"/>
      <c r="E1" s="28"/>
      <c r="F1" s="30"/>
      <c r="G1" s="30"/>
      <c r="H1" s="30"/>
      <c r="I1" s="5"/>
    </row>
    <row r="3" spans="1:9" x14ac:dyDescent="0.25">
      <c r="A3" s="2" t="s">
        <v>102</v>
      </c>
      <c r="B3" s="2" t="s">
        <v>8</v>
      </c>
      <c r="C3" s="2" t="s">
        <v>9</v>
      </c>
      <c r="D3" s="2" t="s">
        <v>10</v>
      </c>
      <c r="E3" s="2" t="s">
        <v>15</v>
      </c>
    </row>
    <row r="4" spans="1:9" x14ac:dyDescent="0.25">
      <c r="A4" s="31" t="s">
        <v>62</v>
      </c>
      <c r="B4" s="31"/>
      <c r="C4" s="31" t="s">
        <v>14</v>
      </c>
      <c r="D4" s="37">
        <v>1.25</v>
      </c>
      <c r="E4" s="37">
        <f>electronic_material4[[#This Row],[QTY]]*electronic_material4[[#This Row],[COST]]</f>
        <v>0</v>
      </c>
    </row>
    <row r="5" spans="1:9" x14ac:dyDescent="0.25">
      <c r="A5" s="31" t="s">
        <v>63</v>
      </c>
      <c r="B5" s="60"/>
      <c r="C5" s="31" t="s">
        <v>12</v>
      </c>
      <c r="D5" s="37">
        <v>10</v>
      </c>
      <c r="E5" s="37">
        <f>electronic_material4[[#This Row],[QTY]]*electronic_material4[[#This Row],[COST]]</f>
        <v>0</v>
      </c>
    </row>
    <row r="6" spans="1:9" x14ac:dyDescent="0.25">
      <c r="A6" s="31" t="s">
        <v>64</v>
      </c>
      <c r="B6" s="60"/>
      <c r="C6" s="31" t="s">
        <v>12</v>
      </c>
      <c r="D6" s="37">
        <v>900</v>
      </c>
      <c r="E6" s="37">
        <f>electronic_material4[[#This Row],[QTY]]*electronic_material4[[#This Row],[COST]]</f>
        <v>0</v>
      </c>
    </row>
    <row r="7" spans="1:9" x14ac:dyDescent="0.25">
      <c r="A7" s="31" t="s">
        <v>65</v>
      </c>
      <c r="B7" s="60"/>
      <c r="C7" s="31" t="s">
        <v>12</v>
      </c>
      <c r="D7" s="37">
        <v>1700</v>
      </c>
      <c r="E7" s="37">
        <f>electronic_material4[[#This Row],[QTY]]*electronic_material4[[#This Row],[COST]]</f>
        <v>0</v>
      </c>
    </row>
    <row r="8" spans="1:9" x14ac:dyDescent="0.25">
      <c r="A8" s="31" t="s">
        <v>66</v>
      </c>
      <c r="B8" s="60"/>
      <c r="C8" s="31" t="s">
        <v>12</v>
      </c>
      <c r="D8" s="37">
        <v>1700</v>
      </c>
      <c r="E8" s="37">
        <f>electronic_material4[[#This Row],[QTY]]*electronic_material4[[#This Row],[COST]]</f>
        <v>0</v>
      </c>
    </row>
    <row r="9" spans="1:9" x14ac:dyDescent="0.25">
      <c r="A9" s="31" t="s">
        <v>67</v>
      </c>
      <c r="B9" s="60"/>
      <c r="C9" s="31" t="s">
        <v>12</v>
      </c>
      <c r="D9" s="37">
        <v>600</v>
      </c>
      <c r="E9" s="37">
        <f>electronic_material4[[#This Row],[QTY]]*electronic_material4[[#This Row],[COST]]</f>
        <v>0</v>
      </c>
    </row>
    <row r="10" spans="1:9" x14ac:dyDescent="0.25">
      <c r="A10" s="31" t="s">
        <v>68</v>
      </c>
      <c r="B10" s="60"/>
      <c r="C10" s="31" t="s">
        <v>12</v>
      </c>
      <c r="D10" s="37">
        <v>600</v>
      </c>
      <c r="E10" s="37">
        <f>electronic_material4[[#This Row],[QTY]]*electronic_material4[[#This Row],[COST]]</f>
        <v>0</v>
      </c>
    </row>
    <row r="11" spans="1:9" x14ac:dyDescent="0.25">
      <c r="A11" s="31" t="s">
        <v>79</v>
      </c>
      <c r="B11" s="60"/>
      <c r="C11" s="31" t="s">
        <v>12</v>
      </c>
      <c r="D11" s="37">
        <v>200</v>
      </c>
      <c r="E11" s="37">
        <f>electronic_material4[[#This Row],[QTY]]*electronic_material4[[#This Row],[COST]]</f>
        <v>0</v>
      </c>
    </row>
    <row r="12" spans="1:9" x14ac:dyDescent="0.25">
      <c r="A12" s="31" t="s">
        <v>81</v>
      </c>
      <c r="B12" s="60"/>
      <c r="C12" s="31" t="s">
        <v>12</v>
      </c>
      <c r="D12" s="37">
        <v>90</v>
      </c>
      <c r="E12" s="37">
        <f>electronic_material4[[#This Row],[QTY]]*electronic_material4[[#This Row],[COST]]</f>
        <v>0</v>
      </c>
    </row>
    <row r="13" spans="1:9" x14ac:dyDescent="0.25">
      <c r="A13" s="44" t="s">
        <v>114</v>
      </c>
      <c r="B13" s="60"/>
      <c r="C13" s="44" t="s">
        <v>12</v>
      </c>
      <c r="D13" s="37">
        <v>165</v>
      </c>
      <c r="E13" s="37">
        <f>electronic_material4[[#This Row],[QTY]]*electronic_material4[[#This Row],[COST]]</f>
        <v>0</v>
      </c>
    </row>
    <row r="14" spans="1:9" x14ac:dyDescent="0.25">
      <c r="A14" s="44" t="s">
        <v>115</v>
      </c>
      <c r="B14" s="60"/>
      <c r="C14" s="44" t="s">
        <v>12</v>
      </c>
      <c r="D14" s="37">
        <v>165</v>
      </c>
      <c r="E14" s="37">
        <f>electronic_material4[[#This Row],[QTY]]*electronic_material4[[#This Row],[COST]]</f>
        <v>0</v>
      </c>
    </row>
    <row r="15" spans="1:9" x14ac:dyDescent="0.25">
      <c r="A15" s="44" t="s">
        <v>116</v>
      </c>
      <c r="B15" s="60"/>
      <c r="C15" s="44" t="s">
        <v>12</v>
      </c>
      <c r="D15" s="37">
        <v>5.04</v>
      </c>
      <c r="E15" s="37">
        <f>electronic_material4[[#This Row],[QTY]]*electronic_material4[[#This Row],[COST]]</f>
        <v>0</v>
      </c>
    </row>
    <row r="16" spans="1:9" x14ac:dyDescent="0.25">
      <c r="A16" s="44" t="s">
        <v>117</v>
      </c>
      <c r="B16" s="60"/>
      <c r="C16" s="44" t="s">
        <v>12</v>
      </c>
      <c r="D16" s="37">
        <v>5.63</v>
      </c>
      <c r="E16" s="37">
        <f>electronic_material4[[#This Row],[QTY]]*electronic_material4[[#This Row],[COST]]</f>
        <v>0</v>
      </c>
    </row>
    <row r="17" spans="1:5" x14ac:dyDescent="0.25">
      <c r="A17" s="44" t="s">
        <v>118</v>
      </c>
      <c r="B17" s="60"/>
      <c r="C17" s="44" t="s">
        <v>12</v>
      </c>
      <c r="D17" s="37">
        <v>77.59</v>
      </c>
      <c r="E17" s="37">
        <f>electronic_material4[[#This Row],[QTY]]*electronic_material4[[#This Row],[COST]]</f>
        <v>0</v>
      </c>
    </row>
    <row r="18" spans="1:5" x14ac:dyDescent="0.25">
      <c r="A18" s="44" t="s">
        <v>122</v>
      </c>
      <c r="B18" s="60"/>
      <c r="C18" s="44" t="s">
        <v>12</v>
      </c>
      <c r="D18" s="37">
        <v>24.72</v>
      </c>
      <c r="E18" s="37">
        <f>electronic_material4[[#This Row],[QTY]]*electronic_material4[[#This Row],[COST]]</f>
        <v>0</v>
      </c>
    </row>
    <row r="19" spans="1:5" x14ac:dyDescent="0.25">
      <c r="A19" s="44" t="s">
        <v>119</v>
      </c>
      <c r="B19" s="60"/>
      <c r="C19" s="44" t="s">
        <v>12</v>
      </c>
      <c r="D19" s="37">
        <v>30</v>
      </c>
      <c r="E19" s="37">
        <f>electronic_material4[[#This Row],[QTY]]*electronic_material4[[#This Row],[COST]]</f>
        <v>0</v>
      </c>
    </row>
    <row r="20" spans="1:5" x14ac:dyDescent="0.25">
      <c r="A20" s="44" t="s">
        <v>120</v>
      </c>
      <c r="B20" s="60"/>
      <c r="C20" s="44" t="s">
        <v>12</v>
      </c>
      <c r="D20" s="37">
        <v>106</v>
      </c>
      <c r="E20" s="37">
        <f>electronic_material4[[#This Row],[QTY]]*electronic_material4[[#This Row],[COST]]</f>
        <v>0</v>
      </c>
    </row>
    <row r="21" spans="1:5" x14ac:dyDescent="0.25">
      <c r="A21" s="44" t="s">
        <v>121</v>
      </c>
      <c r="B21" s="60"/>
      <c r="C21" s="44" t="s">
        <v>12</v>
      </c>
      <c r="D21" s="37">
        <v>86.47</v>
      </c>
      <c r="E21" s="37">
        <f>electronic_material4[[#This Row],[QTY]]*electronic_material4[[#This Row],[COST]]</f>
        <v>0</v>
      </c>
    </row>
    <row r="22" spans="1:5" x14ac:dyDescent="0.25">
      <c r="A22" s="44" t="s">
        <v>123</v>
      </c>
      <c r="B22" s="60"/>
      <c r="C22" s="44" t="s">
        <v>12</v>
      </c>
      <c r="D22" s="37">
        <v>9.1199999999999992</v>
      </c>
      <c r="E22" s="37">
        <f>electronic_material4[[#This Row],[QTY]]*electronic_material4[[#This Row],[COST]]</f>
        <v>0</v>
      </c>
    </row>
    <row r="23" spans="1:5" x14ac:dyDescent="0.25">
      <c r="A23" s="31" t="s">
        <v>78</v>
      </c>
      <c r="B23" s="60"/>
      <c r="C23" s="31" t="s">
        <v>12</v>
      </c>
      <c r="D23" s="37">
        <v>100</v>
      </c>
      <c r="E23" s="37">
        <f>electronic_material4[[#This Row],[QTY]]*electronic_material4[[#This Row],[COST]]</f>
        <v>0</v>
      </c>
    </row>
    <row r="24" spans="1:5" x14ac:dyDescent="0.25">
      <c r="A24" s="31" t="s">
        <v>80</v>
      </c>
      <c r="B24" s="60"/>
      <c r="C24" s="31" t="s">
        <v>12</v>
      </c>
      <c r="D24" s="37">
        <v>80</v>
      </c>
      <c r="E24" s="37">
        <f>electronic_material4[[#This Row],[QTY]]*electronic_material4[[#This Row],[COST]]</f>
        <v>0</v>
      </c>
    </row>
    <row r="25" spans="1:5" x14ac:dyDescent="0.25">
      <c r="A25" s="36" t="s">
        <v>69</v>
      </c>
      <c r="B25" s="60"/>
      <c r="C25" s="36" t="s">
        <v>11</v>
      </c>
      <c r="D25" s="37">
        <v>1500</v>
      </c>
      <c r="E25" s="37">
        <f>electronic_material4[[#This Row],[QTY]]*electronic_material4[[#This Row],[COST]]</f>
        <v>0</v>
      </c>
    </row>
    <row r="26" spans="1:5" x14ac:dyDescent="0.25">
      <c r="A26" s="60" t="s">
        <v>101</v>
      </c>
      <c r="B26" s="60"/>
      <c r="C26" s="60"/>
      <c r="D26" s="60"/>
      <c r="E26" s="37">
        <f>SUBTOTAL(109,electronic_material4[EXTENDED COST])</f>
        <v>0</v>
      </c>
    </row>
    <row r="29" spans="1:5" x14ac:dyDescent="0.25">
      <c r="A29" s="2" t="s">
        <v>49</v>
      </c>
      <c r="B29" s="2" t="s">
        <v>8</v>
      </c>
      <c r="C29" s="2" t="s">
        <v>9</v>
      </c>
      <c r="D29" s="2" t="s">
        <v>10</v>
      </c>
      <c r="E29" s="2" t="s">
        <v>15</v>
      </c>
    </row>
    <row r="30" spans="1:5" x14ac:dyDescent="0.25">
      <c r="A30" s="31" t="s">
        <v>70</v>
      </c>
      <c r="B30" s="31"/>
      <c r="C30" s="31" t="s">
        <v>11</v>
      </c>
      <c r="D30" s="37">
        <v>500</v>
      </c>
      <c r="E30" s="37">
        <f>Table8[QTY]*Table8[COST]</f>
        <v>0</v>
      </c>
    </row>
    <row r="31" spans="1:5" x14ac:dyDescent="0.25">
      <c r="A31" s="31" t="s">
        <v>101</v>
      </c>
      <c r="B31" s="31"/>
      <c r="C31" s="31"/>
      <c r="D31" s="31"/>
      <c r="E31" s="37">
        <f>SUBTOTAL(109,Table8[EXTENDED COST])</f>
        <v>0</v>
      </c>
    </row>
  </sheetData>
  <pageMargins left="0.7" right="0.7" top="0.75" bottom="0.75" header="0.3" footer="0.3"/>
  <pageSetup orientation="portrait" r:id="rId1"/>
  <headerFooter>
    <oddHeader>&amp;C&amp;"Arial Black,Regular"&amp;10PA REQUEST</oddHeader>
    <oddFooter>&amp;C&amp;"Arial,Regular"&amp;10&amp;D
AJW-2W13B&amp;R&amp;"Arial,Regular"&amp;10&amp;P of &amp;N&amp;LPreliminary Cost Estimate
Program - GJT RTR</oddFooter>
  </headerFooter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6"/>
  <sheetViews>
    <sheetView showGridLines="0" tabSelected="1" view="pageLayout" topLeftCell="A18" zoomScaleNormal="122" workbookViewId="0">
      <selection activeCell="A31" sqref="A31"/>
    </sheetView>
  </sheetViews>
  <sheetFormatPr defaultRowHeight="15" x14ac:dyDescent="0.25"/>
  <cols>
    <col min="1" max="1" width="41.7109375" customWidth="1"/>
    <col min="4" max="4" width="10.28515625" customWidth="1"/>
    <col min="5" max="5" width="16" customWidth="1"/>
    <col min="6" max="7" width="6.7109375" customWidth="1"/>
    <col min="8" max="8" width="12.7109375" customWidth="1"/>
    <col min="9" max="9" width="18.7109375" customWidth="1"/>
    <col min="10" max="10" width="10.5703125" bestFit="1" customWidth="1"/>
  </cols>
  <sheetData>
    <row r="1" spans="1:9" ht="15.75" x14ac:dyDescent="0.3">
      <c r="A1" s="33"/>
      <c r="B1" s="33"/>
      <c r="C1" s="33"/>
      <c r="D1" s="33"/>
      <c r="E1" s="33"/>
      <c r="F1" s="31"/>
      <c r="G1" s="31"/>
      <c r="H1" s="31"/>
      <c r="I1" s="5"/>
    </row>
    <row r="3" spans="1:9" x14ac:dyDescent="0.25">
      <c r="A3" s="2" t="s">
        <v>50</v>
      </c>
      <c r="B3" s="2" t="s">
        <v>8</v>
      </c>
      <c r="C3" s="2" t="s">
        <v>9</v>
      </c>
      <c r="D3" s="2" t="s">
        <v>10</v>
      </c>
      <c r="E3" s="2" t="s">
        <v>15</v>
      </c>
    </row>
    <row r="4" spans="1:9" x14ac:dyDescent="0.25">
      <c r="A4" s="31" t="s">
        <v>72</v>
      </c>
      <c r="B4" s="58"/>
      <c r="C4" s="31" t="s">
        <v>12</v>
      </c>
      <c r="D4" s="37">
        <v>9866</v>
      </c>
      <c r="E4" s="37">
        <f>po_radio_equipment[[#This Row],[QTY]]*po_radio_equipment[[#This Row],[COST]]</f>
        <v>0</v>
      </c>
    </row>
    <row r="5" spans="1:9" x14ac:dyDescent="0.25">
      <c r="A5" s="31" t="s">
        <v>73</v>
      </c>
      <c r="B5" s="58"/>
      <c r="C5" s="31" t="s">
        <v>12</v>
      </c>
      <c r="D5" s="37">
        <v>9287</v>
      </c>
      <c r="E5" s="37">
        <f>po_radio_equipment[[#This Row],[QTY]]*po_radio_equipment[[#This Row],[COST]]</f>
        <v>0</v>
      </c>
    </row>
    <row r="6" spans="1:9" x14ac:dyDescent="0.25">
      <c r="A6" s="57" t="s">
        <v>162</v>
      </c>
      <c r="B6" s="58"/>
      <c r="C6" s="57" t="s">
        <v>12</v>
      </c>
      <c r="D6" s="35">
        <v>10650</v>
      </c>
      <c r="E6" s="37">
        <f>po_radio_equipment[[#This Row],[QTY]]*po_radio_equipment[[#This Row],[COST]]</f>
        <v>0</v>
      </c>
    </row>
    <row r="7" spans="1:9" x14ac:dyDescent="0.25">
      <c r="A7" s="31" t="s">
        <v>74</v>
      </c>
      <c r="B7" s="58"/>
      <c r="C7" s="31" t="s">
        <v>12</v>
      </c>
      <c r="D7" s="37">
        <v>6935</v>
      </c>
      <c r="E7" s="37">
        <f>po_radio_equipment[[#This Row],[QTY]]*po_radio_equipment[[#This Row],[COST]]</f>
        <v>0</v>
      </c>
    </row>
    <row r="8" spans="1:9" ht="15.75" thickBot="1" x14ac:dyDescent="0.3">
      <c r="A8" s="32" t="s">
        <v>75</v>
      </c>
      <c r="B8" s="58"/>
      <c r="C8" s="32" t="s">
        <v>12</v>
      </c>
      <c r="D8" s="37">
        <v>6717</v>
      </c>
      <c r="E8" s="37">
        <f>po_radio_equipment[[#This Row],[QTY]]*po_radio_equipment[[#This Row],[COST]]</f>
        <v>0</v>
      </c>
    </row>
    <row r="9" spans="1:9" ht="15" customHeight="1" thickTop="1" x14ac:dyDescent="0.25">
      <c r="A9" s="31" t="s">
        <v>101</v>
      </c>
      <c r="B9" s="31"/>
      <c r="C9" s="31"/>
      <c r="D9" s="31"/>
      <c r="E9" s="37">
        <f>SUBTOTAL(109,po_radio_equipment[EXTENDED COST])</f>
        <v>0</v>
      </c>
    </row>
    <row r="14" spans="1:9" x14ac:dyDescent="0.25">
      <c r="A14" s="2" t="s">
        <v>51</v>
      </c>
      <c r="B14" s="2" t="s">
        <v>8</v>
      </c>
      <c r="C14" s="2" t="s">
        <v>9</v>
      </c>
      <c r="D14" s="2" t="s">
        <v>10</v>
      </c>
      <c r="E14" s="2" t="s">
        <v>15</v>
      </c>
    </row>
    <row r="15" spans="1:9" x14ac:dyDescent="0.25">
      <c r="A15" s="59" t="s">
        <v>167</v>
      </c>
      <c r="B15" s="58"/>
      <c r="C15" s="59" t="s">
        <v>12</v>
      </c>
      <c r="D15" s="37">
        <v>3500</v>
      </c>
      <c r="E15" s="37">
        <f>[1]!po_ancillary_equipment[[#This Row],[QTY]]*[1]!po_ancillary_equipment[[#This Row],[COST]]</f>
        <v>0</v>
      </c>
    </row>
    <row r="16" spans="1:9" x14ac:dyDescent="0.25">
      <c r="A16" s="59" t="s">
        <v>168</v>
      </c>
      <c r="B16" s="58"/>
      <c r="C16" s="59" t="s">
        <v>12</v>
      </c>
      <c r="D16" s="37">
        <v>3500</v>
      </c>
      <c r="E16" s="37">
        <f>[1]!po_ancillary_equipment[[#This Row],[QTY]]*[1]!po_ancillary_equipment[[#This Row],[COST]]</f>
        <v>3500</v>
      </c>
    </row>
    <row r="17" spans="1:5" x14ac:dyDescent="0.25">
      <c r="A17" s="59" t="s">
        <v>170</v>
      </c>
      <c r="B17" s="58"/>
      <c r="C17" s="59" t="s">
        <v>12</v>
      </c>
      <c r="D17" s="37">
        <v>3500</v>
      </c>
      <c r="E17" s="37">
        <f>[1]!po_ancillary_equipment[[#This Row],[QTY]]*[1]!po_ancillary_equipment[[#This Row],[COST]]</f>
        <v>0</v>
      </c>
    </row>
    <row r="18" spans="1:5" x14ac:dyDescent="0.25">
      <c r="A18" s="59" t="s">
        <v>169</v>
      </c>
      <c r="B18" s="58"/>
      <c r="C18" s="59" t="s">
        <v>12</v>
      </c>
      <c r="D18" s="37">
        <v>3500</v>
      </c>
      <c r="E18" s="37">
        <f>[1]!po_ancillary_equipment[[#This Row],[QTY]]*[1]!po_ancillary_equipment[[#This Row],[COST]]</f>
        <v>0</v>
      </c>
    </row>
    <row r="19" spans="1:5" x14ac:dyDescent="0.25">
      <c r="A19" s="59" t="s">
        <v>172</v>
      </c>
      <c r="B19" s="58"/>
      <c r="C19" s="59" t="s">
        <v>12</v>
      </c>
      <c r="D19" s="37">
        <v>3500</v>
      </c>
      <c r="E19" s="37">
        <f>[1]!po_ancillary_equipment[[#This Row],[QTY]]*[1]!po_ancillary_equipment[[#This Row],[COST]]</f>
        <v>0</v>
      </c>
    </row>
    <row r="20" spans="1:5" x14ac:dyDescent="0.25">
      <c r="A20" s="59" t="s">
        <v>171</v>
      </c>
      <c r="B20" s="58"/>
      <c r="C20" s="59" t="s">
        <v>12</v>
      </c>
      <c r="D20" s="37">
        <v>3500</v>
      </c>
      <c r="E20" s="37">
        <f>[1]!po_ancillary_equipment[[#This Row],[QTY]]*[1]!po_ancillary_equipment[[#This Row],[COST]]</f>
        <v>0</v>
      </c>
    </row>
    <row r="21" spans="1:5" x14ac:dyDescent="0.25">
      <c r="A21" s="59" t="s">
        <v>173</v>
      </c>
      <c r="B21" s="58"/>
      <c r="C21" s="59" t="s">
        <v>12</v>
      </c>
      <c r="D21" s="37">
        <v>3500</v>
      </c>
      <c r="E21" s="37">
        <f>[1]!po_ancillary_equipment[[#This Row],[QTY]]*[1]!po_ancillary_equipment[[#This Row],[COST]]</f>
        <v>0</v>
      </c>
    </row>
    <row r="22" spans="1:5" x14ac:dyDescent="0.25">
      <c r="A22" s="59" t="s">
        <v>174</v>
      </c>
      <c r="B22" s="58"/>
      <c r="C22" s="59" t="s">
        <v>12</v>
      </c>
      <c r="D22" s="37">
        <v>3500</v>
      </c>
      <c r="E22" s="37">
        <f>[1]!po_ancillary_equipment[[#This Row],[QTY]]*[1]!po_ancillary_equipment[[#This Row],[COST]]</f>
        <v>0</v>
      </c>
    </row>
    <row r="23" spans="1:5" x14ac:dyDescent="0.25">
      <c r="A23" s="31" t="s">
        <v>180</v>
      </c>
      <c r="B23" s="58"/>
      <c r="C23" s="59" t="s">
        <v>12</v>
      </c>
      <c r="D23" s="37">
        <v>3500</v>
      </c>
      <c r="E23" s="37">
        <f>[1]!po_ancillary_equipment[[#This Row],[QTY]]*[1]!po_ancillary_equipment[[#This Row],[COST]]</f>
        <v>0</v>
      </c>
    </row>
    <row r="24" spans="1:5" x14ac:dyDescent="0.25">
      <c r="A24" s="59" t="s">
        <v>175</v>
      </c>
      <c r="B24" s="58"/>
      <c r="C24" s="59" t="s">
        <v>12</v>
      </c>
      <c r="D24" s="37">
        <v>3500</v>
      </c>
      <c r="E24" s="37">
        <f>[1]!po_ancillary_equipment[[#This Row],[QTY]]*[1]!po_ancillary_equipment[[#This Row],[COST]]</f>
        <v>0</v>
      </c>
    </row>
    <row r="25" spans="1:5" x14ac:dyDescent="0.25">
      <c r="A25" s="31" t="s">
        <v>176</v>
      </c>
      <c r="B25" s="58"/>
      <c r="C25" s="59" t="s">
        <v>12</v>
      </c>
      <c r="D25" s="37">
        <v>3500</v>
      </c>
      <c r="E25" s="37">
        <f>[1]!po_ancillary_equipment[[#This Row],[QTY]]*[1]!po_ancillary_equipment[[#This Row],[COST]]</f>
        <v>0</v>
      </c>
    </row>
    <row r="26" spans="1:5" x14ac:dyDescent="0.25">
      <c r="A26" s="59" t="s">
        <v>177</v>
      </c>
      <c r="B26" s="58"/>
      <c r="C26" s="59" t="s">
        <v>12</v>
      </c>
      <c r="D26" s="37">
        <v>3500</v>
      </c>
      <c r="E26" s="37">
        <f>[1]!po_ancillary_equipment[[#This Row],[QTY]]*[1]!po_ancillary_equipment[[#This Row],[COST]]</f>
        <v>0</v>
      </c>
    </row>
    <row r="27" spans="1:5" x14ac:dyDescent="0.25">
      <c r="A27" s="31" t="s">
        <v>178</v>
      </c>
      <c r="B27" s="58"/>
      <c r="C27" s="59" t="s">
        <v>12</v>
      </c>
      <c r="D27" s="37">
        <v>765</v>
      </c>
      <c r="E27" s="37">
        <f>[1]!po_ancillary_equipment[[#This Row],[QTY]]*[1]!po_ancillary_equipment[[#This Row],[COST]]</f>
        <v>0</v>
      </c>
    </row>
    <row r="28" spans="1:5" x14ac:dyDescent="0.25">
      <c r="A28" s="59" t="s">
        <v>179</v>
      </c>
      <c r="B28" s="58"/>
      <c r="C28" s="59" t="s">
        <v>12</v>
      </c>
      <c r="D28" s="37">
        <v>765</v>
      </c>
      <c r="E28" s="37">
        <f>[1]!po_ancillary_equipment[[#This Row],[QTY]]*[1]!po_ancillary_equipment[[#This Row],[COST]]</f>
        <v>0</v>
      </c>
    </row>
    <row r="29" spans="1:5" x14ac:dyDescent="0.25">
      <c r="A29" s="31" t="s">
        <v>76</v>
      </c>
      <c r="B29" s="58"/>
      <c r="C29" s="31" t="s">
        <v>12</v>
      </c>
      <c r="D29" s="37">
        <v>239</v>
      </c>
      <c r="E29" s="37">
        <f>[1]!po_ancillary_equipment[[#This Row],[QTY]]*[1]!po_ancillary_equipment[[#This Row],[COST]]</f>
        <v>478</v>
      </c>
    </row>
    <row r="30" spans="1:5" x14ac:dyDescent="0.25">
      <c r="A30" s="31" t="s">
        <v>77</v>
      </c>
      <c r="B30" s="58"/>
      <c r="C30" s="31" t="s">
        <v>12</v>
      </c>
      <c r="D30" s="37">
        <v>210</v>
      </c>
      <c r="E30" s="37">
        <f>[1]!po_ancillary_equipment[[#This Row],[QTY]]*[1]!po_ancillary_equipment[[#This Row],[COST]]</f>
        <v>0</v>
      </c>
    </row>
    <row r="31" spans="1:5" x14ac:dyDescent="0.25">
      <c r="A31" s="31" t="s">
        <v>96</v>
      </c>
      <c r="B31" s="58"/>
      <c r="C31" s="31" t="s">
        <v>12</v>
      </c>
      <c r="D31" s="37">
        <v>595</v>
      </c>
      <c r="E31" s="37">
        <f>[1]!po_ancillary_equipment[[#This Row],[QTY]]*[1]!po_ancillary_equipment[[#This Row],[COST]]</f>
        <v>0</v>
      </c>
    </row>
    <row r="32" spans="1:5" x14ac:dyDescent="0.25">
      <c r="A32" s="31" t="s">
        <v>97</v>
      </c>
      <c r="B32" s="58"/>
      <c r="C32" s="31" t="s">
        <v>12</v>
      </c>
      <c r="D32" s="37">
        <v>399</v>
      </c>
      <c r="E32" s="37">
        <f>[1]!po_ancillary_equipment[[#This Row],[QTY]]*[1]!po_ancillary_equipment[[#This Row],[COST]]</f>
        <v>0</v>
      </c>
    </row>
    <row r="33" spans="1:9" x14ac:dyDescent="0.25">
      <c r="A33" s="53" t="s">
        <v>157</v>
      </c>
      <c r="B33" s="58"/>
      <c r="C33" s="53" t="s">
        <v>12</v>
      </c>
      <c r="D33" s="37">
        <v>415</v>
      </c>
      <c r="E33" s="37">
        <f>[1]!po_ancillary_equipment[[#This Row],[QTY]]*[1]!po_ancillary_equipment[[#This Row],[COST]]</f>
        <v>0</v>
      </c>
    </row>
    <row r="34" spans="1:9" x14ac:dyDescent="0.25">
      <c r="A34" s="53" t="s">
        <v>165</v>
      </c>
      <c r="B34" s="58"/>
      <c r="C34" s="53" t="s">
        <v>12</v>
      </c>
      <c r="D34" s="37">
        <v>594</v>
      </c>
      <c r="E34" s="37">
        <f>[1]!po_ancillary_equipment[[#This Row],[QTY]]*[1]!po_ancillary_equipment[[#This Row],[COST]]</f>
        <v>0</v>
      </c>
    </row>
    <row r="35" spans="1:9" x14ac:dyDescent="0.25">
      <c r="A35" s="53" t="s">
        <v>166</v>
      </c>
      <c r="B35" s="58"/>
      <c r="C35" s="53" t="s">
        <v>12</v>
      </c>
      <c r="D35" s="37">
        <v>401</v>
      </c>
      <c r="E35" s="37">
        <f>[1]!po_ancillary_equipment[[#This Row],[QTY]]*[1]!po_ancillary_equipment[[#This Row],[COST]]</f>
        <v>0</v>
      </c>
    </row>
    <row r="36" spans="1:9" x14ac:dyDescent="0.25">
      <c r="A36" s="59" t="s">
        <v>181</v>
      </c>
      <c r="B36" s="58"/>
      <c r="C36" s="59" t="s">
        <v>12</v>
      </c>
      <c r="D36" s="37">
        <v>2.72</v>
      </c>
      <c r="E36" s="37">
        <f>[1]!po_ancillary_equipment[[#This Row],[QTY]]*[1]!po_ancillary_equipment[[#This Row],[COST]]</f>
        <v>0</v>
      </c>
    </row>
    <row r="37" spans="1:9" x14ac:dyDescent="0.25">
      <c r="A37" s="59" t="s">
        <v>182</v>
      </c>
      <c r="B37" s="58"/>
      <c r="C37" s="59" t="s">
        <v>14</v>
      </c>
      <c r="D37" s="37">
        <v>2.72</v>
      </c>
      <c r="E37" s="37">
        <f>[1]!po_ancillary_equipment[[#This Row],[QTY]]*[1]!po_ancillary_equipment[[#This Row],[COST]]</f>
        <v>0</v>
      </c>
    </row>
    <row r="38" spans="1:9" x14ac:dyDescent="0.25">
      <c r="A38" s="31" t="s">
        <v>189</v>
      </c>
      <c r="B38" s="58"/>
      <c r="C38" s="31" t="s">
        <v>14</v>
      </c>
      <c r="D38" s="37">
        <v>2.72</v>
      </c>
      <c r="E38" s="37">
        <f>[1]!po_ancillary_equipment[[#This Row],[QTY]]*[1]!po_ancillary_equipment[[#This Row],[COST]]</f>
        <v>0</v>
      </c>
    </row>
    <row r="39" spans="1:9" x14ac:dyDescent="0.25">
      <c r="A39" s="61" t="s">
        <v>188</v>
      </c>
      <c r="B39" s="58"/>
      <c r="C39" s="61" t="s">
        <v>14</v>
      </c>
      <c r="D39" s="37">
        <v>2.72</v>
      </c>
      <c r="E39" s="37">
        <f>[1]!po_ancillary_equipment[[#This Row],[QTY]]*[1]!po_ancillary_equipment[[#This Row],[COST]]</f>
        <v>326.40000000000003</v>
      </c>
    </row>
    <row r="40" spans="1:9" x14ac:dyDescent="0.25">
      <c r="A40" s="62" t="s">
        <v>190</v>
      </c>
      <c r="B40" s="58"/>
      <c r="C40" s="62" t="s">
        <v>12</v>
      </c>
      <c r="D40" s="37">
        <v>2.72</v>
      </c>
      <c r="E40" s="37">
        <f>[1]!po_ancillary_equipment[[#This Row],[QTY]]*[1]!po_ancillary_equipment[[#This Row],[COST]]</f>
        <v>0</v>
      </c>
    </row>
    <row r="41" spans="1:9" x14ac:dyDescent="0.25">
      <c r="A41" s="62" t="s">
        <v>191</v>
      </c>
      <c r="B41" s="58"/>
      <c r="C41" s="62" t="s">
        <v>12</v>
      </c>
      <c r="D41" s="37">
        <v>2.72</v>
      </c>
      <c r="E41" s="37">
        <f>[1]!po_ancillary_equipment[[#This Row],[QTY]]*[1]!po_ancillary_equipment[[#This Row],[COST]]</f>
        <v>0</v>
      </c>
    </row>
    <row r="42" spans="1:9" x14ac:dyDescent="0.25">
      <c r="A42" s="62" t="s">
        <v>192</v>
      </c>
      <c r="B42" s="58"/>
      <c r="C42" s="62" t="s">
        <v>12</v>
      </c>
      <c r="D42" s="37">
        <v>2.72</v>
      </c>
      <c r="E42" s="37">
        <f>[1]!po_ancillary_equipment[[#This Row],[QTY]]*[1]!po_ancillary_equipment[[#This Row],[COST]]</f>
        <v>0</v>
      </c>
    </row>
    <row r="43" spans="1:9" x14ac:dyDescent="0.25">
      <c r="A43" s="62" t="s">
        <v>193</v>
      </c>
      <c r="B43" s="58"/>
      <c r="C43" s="62" t="s">
        <v>12</v>
      </c>
      <c r="D43" s="37">
        <v>2.72</v>
      </c>
      <c r="E43" s="37">
        <f>[1]!po_ancillary_equipment[[#This Row],[QTY]]*[1]!po_ancillary_equipment[[#This Row],[COST]]</f>
        <v>0</v>
      </c>
    </row>
    <row r="44" spans="1:9" x14ac:dyDescent="0.25">
      <c r="A44" s="62" t="s">
        <v>194</v>
      </c>
      <c r="B44" s="58"/>
      <c r="C44" s="62" t="s">
        <v>12</v>
      </c>
      <c r="D44" s="37">
        <v>2.72</v>
      </c>
      <c r="E44" s="37">
        <f>[1]!po_ancillary_equipment[[#This Row],[QTY]]*[1]!po_ancillary_equipment[[#This Row],[COST]]</f>
        <v>0</v>
      </c>
    </row>
    <row r="45" spans="1:9" x14ac:dyDescent="0.25">
      <c r="A45" s="62" t="s">
        <v>195</v>
      </c>
      <c r="B45" s="58"/>
      <c r="C45" s="62" t="s">
        <v>12</v>
      </c>
      <c r="D45" s="37">
        <v>2.72</v>
      </c>
      <c r="E45" s="37">
        <f>[1]!po_ancillary_equipment[[#This Row],[QTY]]*[1]!po_ancillary_equipment[[#This Row],[COST]]</f>
        <v>0</v>
      </c>
    </row>
    <row r="46" spans="1:9" x14ac:dyDescent="0.25">
      <c r="A46" s="62" t="s">
        <v>196</v>
      </c>
      <c r="B46" s="58"/>
      <c r="C46" s="62" t="s">
        <v>12</v>
      </c>
      <c r="D46" s="37">
        <v>2.72</v>
      </c>
      <c r="E46" s="37">
        <f>[1]!po_ancillary_equipment[[#This Row],[QTY]]*[1]!po_ancillary_equipment[[#This Row],[COST]]</f>
        <v>0</v>
      </c>
    </row>
    <row r="47" spans="1:9" x14ac:dyDescent="0.25">
      <c r="A47" s="62" t="s">
        <v>197</v>
      </c>
      <c r="B47" s="58"/>
      <c r="C47" s="62" t="s">
        <v>12</v>
      </c>
      <c r="D47" s="35">
        <v>2.72</v>
      </c>
      <c r="E47" s="37">
        <f>[1]!po_ancillary_equipment[[#This Row],[QTY]]*[1]!po_ancillary_equipment[[#This Row],[COST]]</f>
        <v>0</v>
      </c>
      <c r="I47" s="58"/>
    </row>
    <row r="48" spans="1:9" x14ac:dyDescent="0.25">
      <c r="A48" s="62" t="s">
        <v>198</v>
      </c>
      <c r="B48" s="58"/>
      <c r="C48" s="62" t="s">
        <v>12</v>
      </c>
      <c r="D48" s="35">
        <v>2.72</v>
      </c>
      <c r="E48" s="37">
        <f>[1]!po_ancillary_equipment[[#This Row],[QTY]]*[1]!po_ancillary_equipment[[#This Row],[COST]]</f>
        <v>0</v>
      </c>
    </row>
    <row r="49" spans="1:5" x14ac:dyDescent="0.25">
      <c r="A49" s="62" t="s">
        <v>199</v>
      </c>
      <c r="B49" s="58"/>
      <c r="C49" s="62" t="s">
        <v>12</v>
      </c>
      <c r="D49" s="35">
        <v>2.72</v>
      </c>
      <c r="E49" s="37">
        <f>[1]!po_ancillary_equipment[[#This Row],[QTY]]*[1]!po_ancillary_equipment[[#This Row],[COST]]</f>
        <v>0</v>
      </c>
    </row>
    <row r="50" spans="1:5" x14ac:dyDescent="0.25">
      <c r="A50" s="62" t="s">
        <v>158</v>
      </c>
      <c r="B50" s="58"/>
      <c r="C50" s="62" t="s">
        <v>12</v>
      </c>
      <c r="D50" s="37">
        <v>2822</v>
      </c>
      <c r="E50" s="37">
        <f>[1]!po_ancillary_equipment[[#This Row],[QTY]]*[1]!po_ancillary_equipment[[#This Row],[COST]]</f>
        <v>0</v>
      </c>
    </row>
    <row r="51" spans="1:5" x14ac:dyDescent="0.25">
      <c r="A51" s="62" t="s">
        <v>159</v>
      </c>
      <c r="B51" s="58"/>
      <c r="C51" s="62" t="s">
        <v>12</v>
      </c>
      <c r="D51" s="37">
        <v>2625</v>
      </c>
      <c r="E51" s="37">
        <f>[1]!po_ancillary_equipment[[#This Row],[QTY]]*[1]!po_ancillary_equipment[[#This Row],[COST]]</f>
        <v>0</v>
      </c>
    </row>
    <row r="52" spans="1:5" x14ac:dyDescent="0.25">
      <c r="A52" s="62" t="s">
        <v>160</v>
      </c>
      <c r="B52" s="58"/>
      <c r="C52" s="62" t="s">
        <v>12</v>
      </c>
      <c r="D52" s="37">
        <v>230</v>
      </c>
      <c r="E52" s="37">
        <f>[1]!po_ancillary_equipment[[#This Row],[QTY]]*[1]!po_ancillary_equipment[[#This Row],[COST]]</f>
        <v>0</v>
      </c>
    </row>
    <row r="53" spans="1:5" x14ac:dyDescent="0.25">
      <c r="A53" s="62" t="s">
        <v>161</v>
      </c>
      <c r="B53" s="58">
        <v>1</v>
      </c>
      <c r="C53" s="62" t="s">
        <v>12</v>
      </c>
      <c r="D53" s="37">
        <v>250</v>
      </c>
      <c r="E53" s="37">
        <f>[1]!po_ancillary_equipment[[#This Row],[QTY]]*[1]!po_ancillary_equipment[[#This Row],[COST]]</f>
        <v>250</v>
      </c>
    </row>
    <row r="54" spans="1:5" x14ac:dyDescent="0.25">
      <c r="A54" s="62" t="s">
        <v>164</v>
      </c>
      <c r="B54" s="58"/>
      <c r="C54" s="62" t="s">
        <v>12</v>
      </c>
      <c r="D54" s="37">
        <v>500</v>
      </c>
      <c r="E54" s="37">
        <f>[1]!po_ancillary_equipment[[#This Row],[QTY]]*[1]!po_ancillary_equipment[[#This Row],[COST]]</f>
        <v>0</v>
      </c>
    </row>
    <row r="55" spans="1:5" x14ac:dyDescent="0.25">
      <c r="A55" s="62" t="s">
        <v>163</v>
      </c>
      <c r="B55" s="58"/>
      <c r="C55" s="62" t="s">
        <v>12</v>
      </c>
      <c r="D55" s="37">
        <v>247</v>
      </c>
      <c r="E55" s="37">
        <f>[1]!po_ancillary_equipment[[#This Row],[QTY]]*[1]!po_ancillary_equipment[[#This Row],[COST]]</f>
        <v>0</v>
      </c>
    </row>
    <row r="56" spans="1:5" x14ac:dyDescent="0.25">
      <c r="A56" s="62" t="s">
        <v>101</v>
      </c>
      <c r="B56" s="62"/>
      <c r="C56" s="62"/>
      <c r="D56" s="62"/>
      <c r="E56" s="37">
        <f>SUBTOTAL(109,po_ancillary_equipment[EXTENDED COST])</f>
        <v>4554.3999999999996</v>
      </c>
    </row>
  </sheetData>
  <pageMargins left="0.7" right="0.7" top="0.75" bottom="0.75" header="0.3" footer="0.3"/>
  <pageSetup orientation="portrait" r:id="rId1"/>
  <headerFooter>
    <oddHeader>&amp;C&amp;"Arial Black,Regular"&amp;10PO FURNISHED MATERIALS</oddHeader>
    <oddFooter>&amp;C&amp;"Arial,Regular"&amp;10&amp;D
AJW-2W13B&amp;R&amp;"Arial,Regular"&amp;10&amp;P of &amp;N&amp;LPreliminary Cost Estimate
Program - GJT RTR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9"/>
  <sheetViews>
    <sheetView showGridLines="0" view="pageLayout" zoomScaleNormal="122" workbookViewId="0">
      <selection activeCell="B25" sqref="B25"/>
    </sheetView>
  </sheetViews>
  <sheetFormatPr defaultRowHeight="15" x14ac:dyDescent="0.25"/>
  <cols>
    <col min="1" max="1" width="39.42578125" customWidth="1"/>
    <col min="4" max="4" width="12.28515625" customWidth="1"/>
    <col min="5" max="5" width="16" customWidth="1"/>
    <col min="6" max="7" width="6.7109375" customWidth="1"/>
    <col min="8" max="8" width="12.7109375" customWidth="1"/>
    <col min="9" max="9" width="18.7109375" customWidth="1"/>
    <col min="10" max="10" width="10.5703125" bestFit="1" customWidth="1"/>
  </cols>
  <sheetData>
    <row r="1" spans="1:9" ht="15.75" x14ac:dyDescent="0.3">
      <c r="A1" s="41" t="s">
        <v>143</v>
      </c>
    </row>
    <row r="2" spans="1:9" x14ac:dyDescent="0.25">
      <c r="A2" t="s">
        <v>144</v>
      </c>
      <c r="B2" t="s">
        <v>8</v>
      </c>
      <c r="C2" t="s">
        <v>9</v>
      </c>
      <c r="D2" t="s">
        <v>10</v>
      </c>
      <c r="E2" t="s">
        <v>15</v>
      </c>
    </row>
    <row r="3" spans="1:9" x14ac:dyDescent="0.25">
      <c r="A3" t="s">
        <v>145</v>
      </c>
      <c r="B3" s="48">
        <v>20</v>
      </c>
      <c r="C3" t="s">
        <v>147</v>
      </c>
      <c r="D3" s="37">
        <v>215</v>
      </c>
      <c r="E3" s="37">
        <f>tbl_plant_mobilization[[#This Row],[QTY]]*tbl_plant_mobilization[[#This Row],[COST]]</f>
        <v>4300</v>
      </c>
    </row>
    <row r="4" spans="1:9" x14ac:dyDescent="0.25">
      <c r="A4" t="s">
        <v>148</v>
      </c>
      <c r="B4" s="48">
        <v>1</v>
      </c>
      <c r="D4" s="37">
        <v>500</v>
      </c>
      <c r="E4" s="37">
        <f>tbl_plant_mobilization[[#This Row],[QTY]]*tbl_plant_mobilization[[#This Row],[COST]]</f>
        <v>500</v>
      </c>
    </row>
    <row r="5" spans="1:9" x14ac:dyDescent="0.25">
      <c r="A5" t="s">
        <v>146</v>
      </c>
      <c r="B5" s="48">
        <v>1</v>
      </c>
      <c r="C5" t="s">
        <v>149</v>
      </c>
      <c r="D5" s="37">
        <v>1100</v>
      </c>
      <c r="E5" s="37">
        <f>tbl_plant_mobilization[[#This Row],[QTY]]*tbl_plant_mobilization[[#This Row],[COST]]</f>
        <v>1100</v>
      </c>
    </row>
    <row r="6" spans="1:9" x14ac:dyDescent="0.25">
      <c r="A6" t="s">
        <v>101</v>
      </c>
      <c r="B6" s="48"/>
      <c r="E6" s="37">
        <f>SUBTOTAL(109,tbl_plant_mobilization[EXTENDED COST])</f>
        <v>5900</v>
      </c>
      <c r="F6" s="48"/>
      <c r="G6" s="48"/>
      <c r="H6" s="48"/>
      <c r="I6" s="5"/>
    </row>
    <row r="7" spans="1:9" ht="15.75" x14ac:dyDescent="0.3">
      <c r="A7" s="49"/>
      <c r="B7" s="49"/>
      <c r="C7" s="49"/>
      <c r="D7" s="49"/>
      <c r="E7" s="49"/>
    </row>
    <row r="8" spans="1:9" ht="15.75" x14ac:dyDescent="0.3">
      <c r="A8" s="41" t="s">
        <v>137</v>
      </c>
    </row>
    <row r="9" spans="1:9" x14ac:dyDescent="0.25">
      <c r="A9" s="2" t="s">
        <v>136</v>
      </c>
      <c r="B9" s="2" t="s">
        <v>8</v>
      </c>
      <c r="C9" s="2" t="s">
        <v>9</v>
      </c>
      <c r="D9" s="2" t="s">
        <v>10</v>
      </c>
      <c r="E9" s="2" t="s">
        <v>15</v>
      </c>
    </row>
    <row r="10" spans="1:9" x14ac:dyDescent="0.25">
      <c r="A10" s="48" t="s">
        <v>126</v>
      </c>
      <c r="B10" s="48">
        <v>1</v>
      </c>
      <c r="C10" s="48" t="s">
        <v>11</v>
      </c>
      <c r="D10" s="37">
        <v>750</v>
      </c>
      <c r="E10" s="37">
        <f>tbl_plant_material[[#This Row],[QTY]]*tbl_plant_material[[#This Row],[COST]]</f>
        <v>750</v>
      </c>
    </row>
    <row r="11" spans="1:9" x14ac:dyDescent="0.25">
      <c r="A11" s="48" t="s">
        <v>127</v>
      </c>
      <c r="B11" s="48">
        <v>2</v>
      </c>
      <c r="C11" s="48" t="s">
        <v>12</v>
      </c>
      <c r="D11" s="37">
        <v>1250</v>
      </c>
      <c r="E11" s="37">
        <f>tbl_plant_material[[#This Row],[QTY]]*tbl_plant_material[[#This Row],[COST]]</f>
        <v>2500</v>
      </c>
    </row>
    <row r="12" spans="1:9" x14ac:dyDescent="0.25">
      <c r="A12" s="48" t="s">
        <v>128</v>
      </c>
      <c r="B12" s="48">
        <v>50</v>
      </c>
      <c r="C12" s="48" t="s">
        <v>129</v>
      </c>
      <c r="D12" s="37">
        <v>25</v>
      </c>
      <c r="E12" s="37">
        <f>tbl_plant_material[[#This Row],[QTY]]*tbl_plant_material[[#This Row],[COST]]</f>
        <v>1250</v>
      </c>
    </row>
    <row r="13" spans="1:9" ht="15" customHeight="1" x14ac:dyDescent="0.25">
      <c r="A13" s="48" t="s">
        <v>130</v>
      </c>
      <c r="B13" s="48">
        <v>45</v>
      </c>
      <c r="C13" s="48" t="s">
        <v>12</v>
      </c>
      <c r="D13" s="37">
        <v>10</v>
      </c>
      <c r="E13" s="37">
        <f>tbl_plant_material[[#This Row],[QTY]]*tbl_plant_material[[#This Row],[COST]]</f>
        <v>450</v>
      </c>
    </row>
    <row r="14" spans="1:9" x14ac:dyDescent="0.25">
      <c r="A14" s="48" t="s">
        <v>131</v>
      </c>
      <c r="B14" s="48">
        <v>4</v>
      </c>
      <c r="C14" s="48" t="s">
        <v>12</v>
      </c>
      <c r="D14" s="37">
        <v>200</v>
      </c>
      <c r="E14" s="37">
        <f>tbl_plant_material[[#This Row],[QTY]]*tbl_plant_material[[#This Row],[COST]]</f>
        <v>800</v>
      </c>
    </row>
    <row r="15" spans="1:9" x14ac:dyDescent="0.25">
      <c r="A15" s="36" t="s">
        <v>132</v>
      </c>
      <c r="B15" s="36">
        <v>4</v>
      </c>
      <c r="C15" s="36" t="s">
        <v>12</v>
      </c>
      <c r="D15" s="37">
        <v>300</v>
      </c>
      <c r="E15" s="37">
        <f>tbl_plant_material[[#This Row],[QTY]]*tbl_plant_material[[#This Row],[COST]]</f>
        <v>1200</v>
      </c>
    </row>
    <row r="16" spans="1:9" x14ac:dyDescent="0.25">
      <c r="A16" s="36" t="s">
        <v>134</v>
      </c>
      <c r="B16" s="36">
        <v>1</v>
      </c>
      <c r="C16" s="36" t="s">
        <v>133</v>
      </c>
      <c r="D16" s="37">
        <v>3400</v>
      </c>
      <c r="E16" s="37">
        <f>tbl_plant_material[[#This Row],[QTY]]*tbl_plant_material[[#This Row],[COST]]</f>
        <v>3400</v>
      </c>
    </row>
    <row r="17" spans="1:5" x14ac:dyDescent="0.25">
      <c r="A17" s="36" t="s">
        <v>135</v>
      </c>
      <c r="B17" s="36">
        <v>0</v>
      </c>
      <c r="C17" s="36" t="s">
        <v>133</v>
      </c>
      <c r="D17" s="37">
        <v>15000</v>
      </c>
      <c r="E17" s="37">
        <f>tbl_plant_material[[#This Row],[QTY]]*tbl_plant_material[[#This Row],[COST]]</f>
        <v>0</v>
      </c>
    </row>
    <row r="18" spans="1:5" x14ac:dyDescent="0.25">
      <c r="A18" s="48" t="s">
        <v>101</v>
      </c>
      <c r="B18" s="48"/>
      <c r="C18" s="48"/>
      <c r="D18" s="48"/>
      <c r="E18" s="37">
        <f>SUBTOTAL(109,tbl_plant_material[EXTENDED COST])</f>
        <v>10350</v>
      </c>
    </row>
    <row r="20" spans="1:5" ht="15.75" x14ac:dyDescent="0.3">
      <c r="A20" s="41" t="s">
        <v>150</v>
      </c>
    </row>
    <row r="21" spans="1:5" ht="26.25" x14ac:dyDescent="0.25">
      <c r="A21" s="2" t="s">
        <v>136</v>
      </c>
      <c r="B21" s="50" t="s">
        <v>139</v>
      </c>
      <c r="C21" s="50" t="s">
        <v>140</v>
      </c>
      <c r="D21" s="50" t="s">
        <v>141</v>
      </c>
      <c r="E21" s="51" t="s">
        <v>142</v>
      </c>
    </row>
    <row r="22" spans="1:5" x14ac:dyDescent="0.25">
      <c r="A22" s="48" t="s">
        <v>138</v>
      </c>
      <c r="B22" s="48">
        <v>2</v>
      </c>
      <c r="C22" s="48">
        <v>120</v>
      </c>
      <c r="D22" s="37">
        <v>48</v>
      </c>
      <c r="E22" s="37">
        <f>tbl_plant_labor[[#This Row],[Crew
Size]]*tbl_plant_labor[[#This Row],[Man
Hours]]*tbl_plant_labor[[#This Row],[Unit
Cost]]</f>
        <v>11520</v>
      </c>
    </row>
    <row r="25" spans="1:5" ht="15.75" x14ac:dyDescent="0.3">
      <c r="A25" s="41" t="s">
        <v>156</v>
      </c>
      <c r="E25" s="37">
        <f>tbl_plant_mobilization[[#Totals],[EXTENDED COST]]+tbl_plant_material[[#Totals],[EXTENDED COST]]+tbl_plant_labor[Total
Cost]</f>
        <v>27770</v>
      </c>
    </row>
    <row r="26" spans="1:5" x14ac:dyDescent="0.25">
      <c r="A26" s="52" t="s">
        <v>152</v>
      </c>
      <c r="E26" s="37">
        <f>E25*(0.15)</f>
        <v>4165.5</v>
      </c>
    </row>
    <row r="27" spans="1:5" x14ac:dyDescent="0.25">
      <c r="A27" s="52" t="s">
        <v>151</v>
      </c>
      <c r="E27" s="37">
        <f>SUM(E25,E26)</f>
        <v>31935.5</v>
      </c>
    </row>
    <row r="28" spans="1:5" x14ac:dyDescent="0.25">
      <c r="A28" s="52" t="s">
        <v>153</v>
      </c>
      <c r="E28" s="37">
        <v>2000</v>
      </c>
    </row>
    <row r="29" spans="1:5" ht="15.75" x14ac:dyDescent="0.3">
      <c r="A29" s="41" t="s">
        <v>154</v>
      </c>
      <c r="E29" s="37">
        <f>SUM(E27:E28)</f>
        <v>33935.5</v>
      </c>
    </row>
  </sheetData>
  <pageMargins left="0.7" right="0.7" top="0.75" bottom="0.75" header="0.3" footer="0.3"/>
  <pageSetup orientation="portrait" r:id="rId1"/>
  <headerFooter>
    <oddHeader>&amp;C&amp;"Arial Black,Regular"&amp;10PLANT COSTS</oddHeader>
    <oddFooter>&amp;C&amp;"Arial,Regular"&amp;10&amp;D
AJW-2W13B&amp;R&amp;"Arial,Regular"&amp;10&amp;P of &amp;N&amp;LPreliminary Cost Estimate
Program - GJT RTR</oddFooter>
  </headerFooter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26</vt:i4>
      </vt:variant>
    </vt:vector>
  </HeadingPairs>
  <TitlesOfParts>
    <vt:vector size="32" baseType="lpstr">
      <vt:lpstr>Header</vt:lpstr>
      <vt:lpstr>Labor</vt:lpstr>
      <vt:lpstr>Travel</vt:lpstr>
      <vt:lpstr>PA Request</vt:lpstr>
      <vt:lpstr>PO Furnished Materials</vt:lpstr>
      <vt:lpstr>Plant Materials</vt:lpstr>
      <vt:lpstr>airfare</vt:lpstr>
      <vt:lpstr>civ_1</vt:lpstr>
      <vt:lpstr>Cost_Estimator</vt:lpstr>
      <vt:lpstr>ee_1</vt:lpstr>
      <vt:lpstr>ee_2</vt:lpstr>
      <vt:lpstr>ee_tech1</vt:lpstr>
      <vt:lpstr>ee_tech2</vt:lpstr>
      <vt:lpstr>'Plant Materials'!electronic_material_total</vt:lpstr>
      <vt:lpstr>electronic_material_total</vt:lpstr>
      <vt:lpstr>FACTYPE</vt:lpstr>
      <vt:lpstr>LOCID</vt:lpstr>
      <vt:lpstr>lodging</vt:lpstr>
      <vt:lpstr>mie</vt:lpstr>
      <vt:lpstr>pa_elec</vt:lpstr>
      <vt:lpstr>pa_electronic_total</vt:lpstr>
      <vt:lpstr>perdiem</vt:lpstr>
      <vt:lpstr>'Plant Materials'!perdiem_c_t</vt:lpstr>
      <vt:lpstr>perdiem_c_t</vt:lpstr>
      <vt:lpstr>'Plant Materials'!perdiem_c_total</vt:lpstr>
      <vt:lpstr>perdiem_c_total</vt:lpstr>
      <vt:lpstr>'Plant Materials'!perdiem_crown_total</vt:lpstr>
      <vt:lpstr>perdiem_crown_total</vt:lpstr>
      <vt:lpstr>plant_total</vt:lpstr>
      <vt:lpstr>rental_car</vt:lpstr>
      <vt:lpstr>travel_crown</vt:lpstr>
      <vt:lpstr>travel_faa</vt:lpstr>
    </vt:vector>
  </TitlesOfParts>
  <Company>FAA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 Traffic Organization</dc:creator>
  <cp:lastModifiedBy>Air Traffic Organization</cp:lastModifiedBy>
  <cp:lastPrinted>2018-08-02T20:46:56Z</cp:lastPrinted>
  <dcterms:created xsi:type="dcterms:W3CDTF">2018-01-17T14:36:42Z</dcterms:created>
  <dcterms:modified xsi:type="dcterms:W3CDTF">2019-09-12T20:16:45Z</dcterms:modified>
</cp:coreProperties>
</file>